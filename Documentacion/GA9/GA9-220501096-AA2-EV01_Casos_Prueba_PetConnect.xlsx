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goku8\OneDrive\Escritorio\Evidecia\Documentacion\"/>
    </mc:Choice>
  </mc:AlternateContent>
  <xr:revisionPtr revIDLastSave="0" documentId="13_ncr:1_{15AE1F3A-2E3A-4710-854E-3DD248296F51}" xr6:coauthVersionLast="47" xr6:coauthVersionMax="47" xr10:uidLastSave="{00000000-0000-0000-0000-000000000000}"/>
  <workbookProtection lockStructure="1"/>
  <bookViews>
    <workbookView xWindow="-120" yWindow="-120" windowWidth="29040" windowHeight="15720" tabRatio="500" activeTab="2" xr2:uid="{00000000-000D-0000-FFFF-FFFF00000000}"/>
  </bookViews>
  <sheets>
    <sheet name="Info Proyecto" sheetId="1" r:id="rId1"/>
    <sheet name="Ambiente de Prueba" sheetId="2" r:id="rId2"/>
    <sheet name="Casos de Prueba" sheetId="3" r:id="rId3"/>
    <sheet name="Seguimiento" sheetId="4" r:id="rId4"/>
    <sheet name="Resumen" sheetId="5" r:id="rId5"/>
    <sheet name="Trazabilidad" sheetId="6" r:id="rId6"/>
    <sheet name="Matriz Resumen" sheetId="7" r:id="rId7"/>
  </sheets>
  <definedNames>
    <definedName name="_xlnm.Print_Titles" localSheetId="1">'Ambiente de Prueba'!$1:$2</definedName>
    <definedName name="_xlnm.Print_Titles" localSheetId="2">'Casos de Prueba'!$1:$2</definedName>
    <definedName name="_xlnm.Print_Titles" localSheetId="0">'Info Proyecto'!$1:$2</definedName>
    <definedName name="_xlnm.Print_Titles" localSheetId="6">'Matriz Resumen'!$1:$2</definedName>
    <definedName name="_xlnm.Print_Titles" localSheetId="4">Resumen!$1:$1</definedName>
    <definedName name="_xlnm.Print_Titles" localSheetId="3">Seguimiento!$1:$2</definedName>
    <definedName name="_xlnm.Print_Titles" localSheetId="5">Trazabilidad!$1:$2</definedName>
  </definedNames>
  <calcPr calcId="191029" iterateDelta="1E-4"/>
</workbook>
</file>

<file path=xl/calcChain.xml><?xml version="1.0" encoding="utf-8"?>
<calcChain xmlns="http://schemas.openxmlformats.org/spreadsheetml/2006/main">
  <c r="B12" i="5" l="1"/>
  <c r="B10" i="5"/>
  <c r="B9" i="5"/>
  <c r="B8" i="5"/>
  <c r="B7" i="5"/>
  <c r="B6" i="5"/>
  <c r="B5" i="5"/>
  <c r="B4" i="5"/>
  <c r="B3" i="5"/>
  <c r="B2" i="5"/>
  <c r="B11" i="5" l="1"/>
</calcChain>
</file>

<file path=xl/sharedStrings.xml><?xml version="1.0" encoding="utf-8"?>
<sst xmlns="http://schemas.openxmlformats.org/spreadsheetml/2006/main" count="594" uniqueCount="351">
  <si>
    <t>FORMATO DE CASOS DE PRUEBA DE SOFTWARE</t>
  </si>
  <si>
    <t>GA9-220501096-AA2-EV01: Diseña casos y define el ambiente de pruebas de software según proyecto</t>
  </si>
  <si>
    <t>Nombre del Proyecto:</t>
  </si>
  <si>
    <t>PetConnect – Aplicación integral para el cuidado de mascotas (módulos móvil, web y stand-alone sobre una API REST)</t>
  </si>
  <si>
    <t>Versión:</t>
  </si>
  <si>
    <t>1.0.0 (rama main, commit c4310dc)</t>
  </si>
  <si>
    <t>Fecha de Inicio de Pruebas:</t>
  </si>
  <si>
    <t>Fecha de Fin de Pruebas:</t>
  </si>
  <si>
    <t>Líder de Pruebas:</t>
  </si>
  <si>
    <t>Daniel Santiago Jiménez Guzmán (líder de pruebas y Scrum Master)</t>
  </si>
  <si>
    <t>Ficha:</t>
  </si>
  <si>
    <t>3235905</t>
  </si>
  <si>
    <t>Programa de Formación:</t>
  </si>
  <si>
    <t>Tecnología en Análisis y Desarrollo de Software – ADSO</t>
  </si>
  <si>
    <t>Centro:</t>
  </si>
  <si>
    <t>Servicio Nacional de Aprendizaje (SENA)</t>
  </si>
  <si>
    <t>Instructor:</t>
  </si>
  <si>
    <t>Ing. Miguel Andrés Arévalo Vela</t>
  </si>
  <si>
    <t>Equipo de pruebas:</t>
  </si>
  <si>
    <t>Camilo Esteban Orjuela Bonilla, Jazmín Andrea Bautista Oyuela, Yuli Andrea Silva Segura, Valentina Lobo Mccausland y Daniel Santiago Jiménez Guzmán</t>
  </si>
  <si>
    <t>Línea base:</t>
  </si>
  <si>
    <t>ERS del proyecto (RF01–RF11, RNF01–RNF07, RIU01–RIU03, RS01–RS03, RR01–RR02 y RM01–RM02) y plan de pruebas PP-PETCONNECT-2026-01 (evidencia GA9-220501096-AA1-EV02)</t>
  </si>
  <si>
    <t>Evidencias de ejecución:</t>
  </si>
  <si>
    <t>Carpeta Documentacion/Evidencias-GA9-AA2-EV01 del repositorio: script pruebas_aa2.py, un log por caso (logs/CP-001.log a CP-012.log) y resultados.json</t>
  </si>
  <si>
    <t>DEFINICIÓN DEL AMBIENTE DE PRUEBA — PETCONNECT</t>
  </si>
  <si>
    <t>Componente</t>
  </si>
  <si>
    <t>Especificación</t>
  </si>
  <si>
    <t>Observaciones</t>
  </si>
  <si>
    <t>Tipo de Aplicación</t>
  </si>
  <si>
    <t>Aplicación móvil híbrida (React Native 0.86 + Expo SDK 57), versión web (React 19 + Vite 8) y módulo stand-alone de consola, todos sobre una API REST en Flask 3.1.3.</t>
  </si>
  <si>
    <t>La ejecución del 05/10/2026 se hizo sobre la API, los DAO y la base de datos; las pruebas de interfaz están programadas para el Sprint 3.</t>
  </si>
  <si>
    <t>Sistemas Operativos</t>
  </si>
  <si>
    <t>Windows 11 Pro 64 bits, build 26200 (ejecución); Ubuntu 22.04 LTS en contenedores Docker (integración continua y staging); Android 10 y Android 14; iOS 15 o superior.</t>
  </si>
  <si>
    <t>Android e iOS conforman la matriz de compatibilidad de RNF05.</t>
  </si>
  <si>
    <t>Navegadores</t>
  </si>
  <si>
    <t>Google Chrome, Microsoft Edge y Mozilla Firefox (dos últimas versiones).</t>
  </si>
  <si>
    <t>Para la versión web y la auditoría con Lighthouse (RNF05); no intervienen en las pruebas de API.</t>
  </si>
  <si>
    <t>Servidor de Aplicaciones</t>
  </si>
  <si>
    <t>Werkzeug 3.1.8 (servidor de desarrollo de Flask, el mismo que se inicia con python api.py) en 127.0.0.1:5055 durante la ejecución. Staging: Gunicorn en Docker sobre Amazon EC2, detrás de un balanceador con HTTPS.</t>
  </si>
  <si>
    <t>CP-008 mostró que el servidor de desarrollo, con una sola conexión a la BD, no soporta 500 usuarios (NC-003).</t>
  </si>
  <si>
    <t>Base de Datos</t>
  </si>
  <si>
    <t>MariaDB 10.4.32 (XAMPP, compatible con MySQL) en el puerto 3310. Base aislada petconnect_qa creada con la estructura de petconnect y eliminada al terminar. Staging: MySQL 8 en Amazon RDS.</t>
  </si>
  <si>
    <t>El modo SQL no estricto guarda vacíos los valores que no están en un enum (origen de NC-009).</t>
  </si>
  <si>
    <t>Lenguaje / Framework</t>
  </si>
  <si>
    <t>Python 3.14.0, Flask 3.1.3, PyJWT 2.13.0 y mysql-connector-python 9.1.0; Node.js 24.14.0.</t>
  </si>
  <si>
    <t>Backend REST y lógica de dominio de la app.</t>
  </si>
  <si>
    <t>Frontend</t>
  </si>
  <si>
    <t>React Native 0.86 + Expo SDK 57 (móvil); React 19 + Vite 8 + Tailwind CSS 4 (web).</t>
  </si>
  <si>
    <t>La web muestra mascotas fijas si la API devuelve una lista vacía, lo que oculta NC-009.</t>
  </si>
  <si>
    <t>Hardware</t>
  </si>
  <si>
    <t>Equipo de ejecución: AMD Ryzen 5 5600H (6 núcleos, 12 hilos), 24 GB de RAM y SSD NVMe de 512 GB. Mínimo por integrante: Core i5 o Ryzen 5 y 8 GB de RAM (16 GB con el emulador de Android).</t>
  </si>
  <si>
    <t>En CP-008 y CP-009 el generador de carga y el servidor compartieron el mismo equipo.</t>
  </si>
  <si>
    <t>Red</t>
  </si>
  <si>
    <t>Local (127.0.0.1); Internet solo para la validación DNS (registros MX) de los correos.</t>
  </si>
  <si>
    <t>Staging: HTTPS con TLS 1.2 o superior.</t>
  </si>
  <si>
    <t>Correo Electrónico</t>
  </si>
  <si>
    <t>Modo smtp sin credenciales: el envío falla a propósito y el código OTP se lee de la memoria de la API.</t>
  </si>
  <si>
    <t>Evita enviar correos reales; en desarrollo la API usa Gmail (EMAIL_MODE=gmail).</t>
  </si>
  <si>
    <t>Datos de Prueba</t>
  </si>
  <si>
    <t>Datos sintéticos: 103 usuarios con correos @example.com, 4 mascotas, 4 proveedores, 1 vacuna y 1 carné; catálogo de productos copiado de la BD de desarrollo.</t>
  </si>
  <si>
    <t>Sin datos personales reales (Ley 1581 de 2012, RNF06).</t>
  </si>
  <si>
    <t>Seguridad del Entorno</t>
  </si>
  <si>
    <t>JWT_SECRET aleatorio en cada ejecución; FERNET_KEY tomada del .env local; ninguna prueba escribe en la BD de desarrollo.</t>
  </si>
  <si>
    <t>La BD de desarrollo solo se consultó en modo lectura (CP-012).</t>
  </si>
  <si>
    <t>Herramientas de Prueba</t>
  </si>
  <si>
    <t>Ejecución: script pruebas_aa2.py (cliente de pruebas de Flask, DAO y SQL), ejecutor node:test de Node.js y generador de carga con ThreadPoolExecutor. Planificadas para staging: Postman/Newman, Apache JMeter 5.6, OWASP ZAP, Maestro, Cypress y Lighthouse.</t>
  </si>
  <si>
    <t>Herramientas definidas en el plan de pruebas (Tabla 16).</t>
  </si>
  <si>
    <t>Control de Versiones</t>
  </si>
  <si>
    <t>Git + GitHub, rama main (commit c4310dc).</t>
  </si>
  <si>
    <t>Las evidencias quedan en Documentacion/Evidencias-GA9-AA2-EV01.</t>
  </si>
  <si>
    <t>Ambientes del Plan</t>
  </si>
  <si>
    <t>Local (desarrollo), Docker virtualizado (integración continua con GitHub Actions) y staging en AWS.</t>
  </si>
  <si>
    <t>Esta ejecución corresponde al ambiente local; ver el plan GA9-220501096-AA1-EV02.</t>
  </si>
  <si>
    <t>CASOS DE PRUEBA — PETCONNECT</t>
  </si>
  <si>
    <t>Nº Caso</t>
  </si>
  <si>
    <t>Nombre del Caso de Prueba</t>
  </si>
  <si>
    <t>Tipo de Prueba</t>
  </si>
  <si>
    <t>Descripción del Caso de Prueba</t>
  </si>
  <si>
    <t>Ambiente / Entorno</t>
  </si>
  <si>
    <t>Herramienta</t>
  </si>
  <si>
    <t>Autor del Caso</t>
  </si>
  <si>
    <t>Fecha de Revisión</t>
  </si>
  <si>
    <t>Salida Esperada</t>
  </si>
  <si>
    <t>Salida Obtenida</t>
  </si>
  <si>
    <t>Resultado</t>
  </si>
  <si>
    <t>Seguimiento</t>
  </si>
  <si>
    <t>Severidad</t>
  </si>
  <si>
    <t>Evidencia</t>
  </si>
  <si>
    <t>Requerimiento Asociado</t>
  </si>
  <si>
    <t>Firma de Aprobación</t>
  </si>
  <si>
    <t>CP-001</t>
  </si>
  <si>
    <t>Registro de usuario con datos válidos y verificación por código OTP</t>
  </si>
  <si>
    <t>Funcional</t>
  </si>
  <si>
    <t>Prueba funcional de caja negra sobre la API. Objetivo: comprobar que un usuario nuevo se registra con nombre, correo y contraseña válidos y que la cuenta solo se crea tras validar el código OTP. Precondición: el correo laura.gomez.qa@example.com no existe. Pasos: 1) POST /api/auth/register; 2) leer el código OTP; 3) POST /api/auth/verify; 4) consultar el usuario en la BD.</t>
  </si>
  <si>
    <t>Windows 11 Pro (build 26200); Python 3.14.0 + Flask 3.1.3; MariaDB 10.4.32 (BD aislada petconnect_qa); Ryzen 5 5600H, 24 GB RAM</t>
  </si>
  <si>
    <t>Script Python pruebas_aa2.py con el cliente de pruebas de Flask</t>
  </si>
  <si>
    <t>Camilo Esteban Orjuela Bonilla</t>
  </si>
  <si>
    <t>Paso 1: HTTP 200 'Código enviado' y código OTP de 6 dígitos. Paso 3: HTTP 201 con token JWT. El usuario queda activo y verificado, y la contraseña no se guarda en texto plano.</t>
  </si>
  <si>
    <t>Registro: HTTP 200 'Codigo enviado' en 0,03 s, con código OTP de 6 dígitos. Verificación: HTTP 201 con token JWT en 0,004 s. Usuario guardado como activo y verificado = 1; el password_hash (64 caracteres) no es la contraseña en texto plano.</t>
  </si>
  <si>
    <t>Aprobado</t>
  </si>
  <si>
    <t>N/A</t>
  </si>
  <si>
    <t>Log logs/CP-001.log: respuestas HTTP 200 y 201 y fila del usuario en la BD.</t>
  </si>
  <si>
    <t>RF01, RIU01, RS01</t>
  </si>
  <si>
    <t>Daniel Santiago Jiménez Guzmán – Líder de pruebas (QA)</t>
  </si>
  <si>
    <t>CP-002</t>
  </si>
  <si>
    <t>Registro de usuario con datos inválidos</t>
  </si>
  <si>
    <t>Prueba funcional de caja negra con partición de equivalencia y valores límite. Objetivo: comprobar que el registro rechaza datos inválidos. Precondición: existe el usuario de CP-001. Entradas: correo mal formado, dominio inexistente, contraseña de 7 caracteres, sin mayúscula, sin número, sin minúscula y correo ya registrado.</t>
  </si>
  <si>
    <t>Jazmín Andrea Bautista Oyuela</t>
  </si>
  <si>
    <t>Las 7 entradas se rechazan: HTTP 400 con el motivo para las 6 inválidas y HTTP 409 para el correo ya registrado; no se genera código OTP.</t>
  </si>
  <si>
    <t>6 de 7 rechazadas correctamente: formato de correo (400), dominio sin servidores de correo (400), 7 caracteres (400), sin mayúscula (400), sin número (400) y correo duplicado (409). La contraseña 'PETCONNECT1!', sin minúscula, fue aceptada con HTTP 200 'Codigo enviado'.</t>
  </si>
  <si>
    <t>En seguimiento</t>
  </si>
  <si>
    <t>NC-004</t>
  </si>
  <si>
    <t>Media</t>
  </si>
  <si>
    <t>Log logs/CP-002.log: 7 solicitudes con su código HTTP y su mensaje.</t>
  </si>
  <si>
    <t>RF01, RIU01, RS03</t>
  </si>
  <si>
    <t>CP-003</t>
  </si>
  <si>
    <t>Registro de más de una mascota para el mismo usuario</t>
  </si>
  <si>
    <t>Prueba funcional sobre el módulo stand-alone (MascotaDAO). Objetivo: comprobar que un usuario registra varias mascotas sin que se mezclen con las de otros. Precondición: usuarios A y B creados. Pasos: registrar Toby y Mía para A y Rocky para B; consultar las mascotas de cada usuario.</t>
  </si>
  <si>
    <t>Windows 11 Pro (build 26200); módulo stand-alone en Python 3.14.0; MariaDB 10.4.32 (BD aislada petconnect_qa); Ryzen 5 5600H, 24 GB RAM</t>
  </si>
  <si>
    <t>Script Python pruebas_aa2.py sobre MascotaDAO</t>
  </si>
  <si>
    <t>Yuli Andrea Silva Segura</t>
  </si>
  <si>
    <t>Cada mascota recibe un identificador propio; la consulta del usuario A devuelve solo Toby y Mía con nombre, especie, raza, edad y foto (RIU02); la del usuario B, solo Rocky.</t>
  </si>
  <si>
    <t>Se registraron Toby (id 10), Mía (id 11) y Rocky (id 12). La consulta de A devolvió exactamente Toby y Mía con todos sus campos; la de B, solo Rocky. Observación: la API aún no expone el registro de mascotas (POST /api/mascotas responde 500 en lugar de 404, ver NC-007).</t>
  </si>
  <si>
    <t>Log logs/CP-003.log: identificadores generados y resultado de las consultas por usuario.</t>
  </si>
  <si>
    <t>RF02, RF04, RIU02</t>
  </si>
  <si>
    <t>CP-004</t>
  </si>
  <si>
    <t>Almacenamiento y consulta del carné de vacunación</t>
  </si>
  <si>
    <t>Integración</t>
  </si>
  <si>
    <t>Prueba de integración con la base de datos (el módulo del carné en la app y la API está programado para el Sprint 2). Objetivo: comprobar que el carné guarda y devuelve las vacunas de una mascota y protege la integridad de los datos. Precondición: Toby registrado (CP-003). Pasos: registrar la vacuna Antirrábica, crear el carné y consultarlo; intentar registrar una vacuna para una mascota inexistente y otra con la próxima dosis anterior a la aplicación.</t>
  </si>
  <si>
    <t>Script Python pruebas_aa2.py con consultas SQL</t>
  </si>
  <si>
    <t>El carné devuelve la vacuna con sus fechas (aplicación 03/11/2025, próxima 03/11/2026); se rechazan la vacuna para una mascota inexistente y la próxima dosis anterior a la fecha de aplicación.</t>
  </si>
  <si>
    <t>El carné guardó y devolvió la vacuna Antirrábica de Toby (03/11/2025 → 03/11/2026) y rechazó la vacuna para una mascota inexistente (error 1452 de llave foránea). Pero aceptó una próxima dosis (01/01/2025) anterior a la aplicación: no hay validación de fechas.</t>
  </si>
  <si>
    <t>NC-010</t>
  </si>
  <si>
    <t>Log logs/CP-004.log: consulta del carné, error 1452 e inserción aceptada con fechas inconsistentes.</t>
  </si>
  <si>
    <t>RF03</t>
  </si>
  <si>
    <t>CP-005</t>
  </si>
  <si>
    <t>Búsqueda en el directorio de servicios veterinarios</t>
  </si>
  <si>
    <t>Prueba funcional sobre ProveedorDAO (módulo stand-alone). Objetivo: comprobar la búsqueda por nombre y el filtro por ciudad del directorio. Precondición: 4 proveedores registrados, uno de ellos inactivo. Pasos: buscar 'Veterinaria', filtrar por 'Armenia', buscar una cadena de inyección SQL y un término inexistente.</t>
  </si>
  <si>
    <t>Script Python pruebas_aa2.py sobre ProveedorDAO</t>
  </si>
  <si>
    <t>Daniel Santiago Jiménez Guzmán</t>
  </si>
  <si>
    <t>Solo se muestran proveedores activos que coinciden: 2 para 'Veterinaria' y 2 para 'Armenia'; la inyección SQL y el término inexistente devuelven 0 resultados.</t>
  </si>
  <si>
    <t>El filtro por ciudad devolvió los 2 proveedores activos de Armenia; la inyección SQL y el término inexistente devolvieron 0. La búsqueda 'Veterinaria' devolvió 3 resultados, incluido 'Veterinaria El Refugio (inactiva)': la búsqueda por nombre no filtra los proveedores inactivos.</t>
  </si>
  <si>
    <t>NC-011</t>
  </si>
  <si>
    <t>Baja</t>
  </si>
  <si>
    <t>Log logs/CP-005.log: resultados de cada búsqueda.</t>
  </si>
  <si>
    <t>RF06</t>
  </si>
  <si>
    <t>CP-006</t>
  </si>
  <si>
    <t>Acceso no autorizado a la información de la mascota de otro usuario</t>
  </si>
  <si>
    <t>Seguridad</t>
  </si>
  <si>
    <t>Prueba de seguridad negativa (OWASP A01:2025, control de acceso roto). Objetivo: comprobar que solo el dueño accede a los datos privados de su mascota, base del carné (RS02). Precondición: Toby pertenece al usuario A y no está en adopción. Pasos: GET /api/mascotas/{id} sin token y con el token del usuario B.</t>
  </si>
  <si>
    <t>HTTP 401 sin token y HTTP 403 o 404 con el token de un usuario que no es el dueño; ningún dato de la mascota en la respuesta.</t>
  </si>
  <si>
    <t>HTTP 200 en ambos casos, con todos los datos de Toby, incluidas sus observaciones de salud ('Alergia a la penicilina'). El endpoint no exige autenticación ni verifica el dueño.</t>
  </si>
  <si>
    <t>Rechazado</t>
  </si>
  <si>
    <t>NC-002</t>
  </si>
  <si>
    <t>Alta</t>
  </si>
  <si>
    <t>Log logs/CP-006.log: cuerpo JSON completo devuelto sin token.</t>
  </si>
  <si>
    <t>RS02, RS01, RNF03</t>
  </si>
  <si>
    <t>CP-007</t>
  </si>
  <si>
    <t>Validación del almacenamiento de contraseñas con bcrypt en la BD</t>
  </si>
  <si>
    <t>Prueba de seguridad de caja blanca sobre la BD (OWASP A04:2025). Objetivo: comprobar que las contraseñas se guardan con bcrypt, factor de costo 12 y sal aleatoria. Precondición: tres usuarios con la misma contraseña. Pasos: leer password_hash, verificar el formato, compararlo con el SHA-256 de la contraseña y comparar los tres hashes.</t>
  </si>
  <si>
    <t>Script Python pruebas_aa2.py con consulta SQL y hashlib</t>
  </si>
  <si>
    <t>Valentina Lobo Mccausland</t>
  </si>
  <si>
    <t>Hash de 60 caracteres que empieza por $2b$12$, distinto del SHA-256 de la contraseña y diferente para cada usuario aunque compartan contraseña.</t>
  </si>
  <si>
    <t>Hash de 64 caracteres hexadecimales (empieza por 795fa8b), idéntico al SHA-256 sin sal de la contraseña; los tres usuarios tienen exactamente el mismo hash. No se usa bcrypt.</t>
  </si>
  <si>
    <t>NC-001</t>
  </si>
  <si>
    <t>Log logs/CP-007.log: prefijo y longitud del hash y comparación entre usuarios.</t>
  </si>
  <si>
    <t>RS03, RNF03</t>
  </si>
  <si>
    <t>CP-008</t>
  </si>
  <si>
    <t>Carga de 500 usuarios concurrentes sobre la API</t>
  </si>
  <si>
    <t>Rendimiento</t>
  </si>
  <si>
    <t>Prueba de rendimiento (carga). Objetivo: comprobar que la API responde en 2 s o menos por acción con 500 usuarios. Precondición: API en el servidor Werkzeug con la BD aislada. Escenario: 500 usuarios virtuales con rampa de 10 s; cada uno consulta el catálogo de productos, espera 1 s y consulta el detalle de una mascota (1000 solicitudes).</t>
  </si>
  <si>
    <t>Windows 11 Pro (build 26200); servidor Werkzeug 3.1.8 (threaded) en 127.0.0.1:5055; MariaDB 10.4.32 (BD aislada); generador de carga en el mismo equipo (Ryzen 5 5600H, 24 GB RAM)</t>
  </si>
  <si>
    <t>Generador de carga en Python (ThreadPoolExecutor, 500 hilos)</t>
  </si>
  <si>
    <t>Percentil 95 ≤ 2 s por acción (RNF04) y tasa de error &lt; 1 %.</t>
  </si>
  <si>
    <t>1000 solicitudes en 70,6 s: p50 0,10 s, p95 30,0 s y máximo 30,04 s; tasa de error del 56 % (396 sin respuesta en 30 s, 161 HTTP 500 y 3 HTTP 404). Los errores 500 ('MySQL Connection not available', 'bytearray index out of range') muestran que la conexión única compartida (Singleton) se corrompe con solicitudes simultáneas. La API se recuperó al terminar.</t>
  </si>
  <si>
    <t>NC-003</t>
  </si>
  <si>
    <t>Log logs/CP-008.log: métricas p50/p95/p99, conteo de errores y mensajes de error 500.</t>
  </si>
  <si>
    <t>RNF04, RR01, RR02</t>
  </si>
  <si>
    <t>CP-009</t>
  </si>
  <si>
    <t>Rendimiento en el registro masivo de usuarios</t>
  </si>
  <si>
    <t>Prueba de rendimiento. Objetivo: comprobar que el registro completo (registro y verificación OTP) mantiene tiempos ≤ 2 s cuando muchos usuarios se registran en poco tiempo. Escenario: 100 usuarios con rampa de 5 s (200 solicitudes).</t>
  </si>
  <si>
    <t>Generador de carga en Python (ThreadPoolExecutor, 100 hilos)</t>
  </si>
  <si>
    <t>p95 ≤ 2 s por acción, tasa de error &lt; 1 % y 100 usuarios creados en la BD.</t>
  </si>
  <si>
    <t>200 solicitudes en 5,0 s: p50 0,005 s, p95 0,02 s y máximo 0,029 s; 0 % de errores; 100 de 100 usuarios creados. Con esta carga (unas 40 solicitudes por segundo) las solicitudes casi no se solaparon; no reemplaza la prueba de 500 usuarios (CP-008).</t>
  </si>
  <si>
    <t>Log logs/CP-009.log: métricas y conteo de usuarios creados.</t>
  </si>
  <si>
    <t>RF01, RNF04</t>
  </si>
  <si>
    <t>CP-010</t>
  </si>
  <si>
    <t>Cálculo de la fecha de recordatorio de vacunación (3 días antes)</t>
  </si>
  <si>
    <t>Unitaria</t>
  </si>
  <si>
    <t>Prueba unitaria de caja blanca con valores límite (ciclo TDD del plan). Objetivo: comprobar que generarRecordatorio() calcula la próxima dosis y activa el aviso 3 días antes. Precondición: vacuna aplicada el 03/11/2025 con periodicidad de 365 días. Casos: 20/10, 30/10, 31/10, 03/11 y 04/11/2026, y periodicidad 0.</t>
  </si>
  <si>
    <t>Windows 11 Pro (build 26200); Node.js 24.14.0 con zona horaria America/Bogota</t>
  </si>
  <si>
    <t>Ejecutor de pruebas nativo de Node.js (node:test)</t>
  </si>
  <si>
    <t>Próxima dosis 03/11/2026 y aviso 31/10/2026; estados PROGRAMADO (30/10), AVISO_ACTIVO (31/10 y 03/11) y VENCIDA (04/11); periodicidad 0 rechazada con RangeError.</t>
  </si>
  <si>
    <t>6 de 6 pruebas aprobadas en 83 ms, con las fechas y los estados esperados en todos los días límite.</t>
  </si>
  <si>
    <t>Log logs/CP-010.log (salida TAP de node:test) y código en cp010/ (implementación de referencia del plan).</t>
  </si>
  <si>
    <t>CP-011</t>
  </si>
  <si>
    <t>Validación de campos obligatorios vacíos en registro e inicio de sesión</t>
  </si>
  <si>
    <t>Prueba unitaria de las funciones de validación y del endpoint, con partición de equivalencia (entrada vacía). Objetivo: comprobar que el registro y el inicio de sesión rechazan campos obligatorios vacíos. Pasos: _validar_correo(''), _validate_password('') y 5 envíos con campos vacíos a /api/auth/register y /api/auth/login.</t>
  </si>
  <si>
    <t>Las funciones devuelven el mensaje de error correspondiente y los 5 envíos responden HTTP 400 indicando que los campos son requeridos; no se crea ningún registro.</t>
  </si>
  <si>
    <t>Las 2 funciones rechazaron los valores vacíos ('El correo es requerido' y 'al menos 8 caracteres') y los 5 envíos respondieron HTTP 400 'son requeridos'; no se creó ningún registro.</t>
  </si>
  <si>
    <t>Log logs/CP-011.log: respuesta de cada función y de cada envío.</t>
  </si>
  <si>
    <t>CP-012</t>
  </si>
  <si>
    <t>Flujo completo de adopción de una mascota</t>
  </si>
  <si>
    <t>Aceptación</t>
  </si>
  <si>
    <t>Prueba de aceptación de extremo a extremo sobre la API (la prueba de interfaz con Maestro y Cypress está programada para el Sprint 3). Objetivo: recorrer el flujo publicar → ver en el catálogo → solicitar la adopción. Pasos: publicar a Luna con el estado que usa el sistema ('en_adopcion'), consultar GET /api/mascotas/adopcion y enviar POST /api/adopciones; contrastar con la BD de desarrollo (solo lectura).</t>
  </si>
  <si>
    <t>Windows 11 Pro (build 26200); Python 3.14.0 + Flask 3.1.3; MariaDB 10.4.32 (BD aislada petconnect_qa); Ryzen 5 5600H, 24 GB RAM; BD de desarrollo petconnect en solo lectura</t>
  </si>
  <si>
    <t>Script Python pruebas_aa2.py con el cliente de pruebas de Flask y consulta SQL de solo lectura</t>
  </si>
  <si>
    <t>Luna aparece en el catálogo de adopción y la solicitud se registra con HTTP 201.</t>
  </si>
  <si>
    <t>El flujo se detuvo en el paso 1: 'en_adopcion' no existe en el enum de mascotas.estado y MariaDB (modo no estricto) lo guardó vacío con la advertencia 1265. El catálogo devolvió 0 mascotas y POST /api/adopciones respondió HTTP 500 (la ruta no existe y el 404 se convierte en 500). En la BD de desarrollo, las 6 mascotas tienen estado vacío; la web lo oculta mostrando mascotas fijas de pets.js.</t>
  </si>
  <si>
    <t>NC-009</t>
  </si>
  <si>
    <t>Log logs/CP-012.log: estado guardado, advertencia 1265, catálogo vacío y conteo en la BD de desarrollo.</t>
  </si>
  <si>
    <t>RF09</t>
  </si>
  <si>
    <t>MATRIZ DE SEGUIMIENTO DE DEFECTOS (NO CONFORMIDADES)</t>
  </si>
  <si>
    <t>Código</t>
  </si>
  <si>
    <t>Caso Asociado</t>
  </si>
  <si>
    <t>Descripción del Defecto</t>
  </si>
  <si>
    <t>Responsable</t>
  </si>
  <si>
    <t>Estado</t>
  </si>
  <si>
    <t>Fecha Asignación</t>
  </si>
  <si>
    <t>Fecha Resolución</t>
  </si>
  <si>
    <t>Las contraseñas se guardan con SHA-256 sin sal (api.py, función _hash_password): el hash coincide con el SHA-256 de la contraseña y es idéntico entre usuarios. Corrección: bcrypt con costo 12 y migración de los hashes existentes.</t>
  </si>
  <si>
    <t>Pendiente</t>
  </si>
  <si>
    <t>Objetivo: 16/10/2026 (Sprint 1)</t>
  </si>
  <si>
    <t>GET /api/mascotas/{id} entrega los datos de cualquier mascota sin autenticación ni verificación del dueño, incluidas sus observaciones de salud. Corrección: exigir el token (@require_auth), verificar el propietario y responder 404 a recursos ajenos.</t>
  </si>
  <si>
    <t>Objetivo: 30/10/2026 (Sprint 2)</t>
  </si>
  <si>
    <t>Camilo Orjuela (corrección) y Valentina Lobo (medición)</t>
  </si>
  <si>
    <t>Objetivo: 13/11/2026 (Sprint 3)</t>
  </si>
  <si>
    <t>La validación de contraseña no exige minúscula: 'PETCONNECT1!' se acepta, contra la política de RS03. Corrección: agregar la verificación [a-z] en la API, la web y la app móvil.</t>
  </si>
  <si>
    <t>Camilo Orjuela y Yuli Silva</t>
  </si>
  <si>
    <t>NC-007</t>
  </si>
  <si>
    <t>CP-003, CP-012</t>
  </si>
  <si>
    <t>Las rutas inexistentes responden HTTP 500 con el texto interno del error en lugar de HTTP 404: el manejador global @app.errorhandler(Exception) captura también los errores HTTP. Corrección: conservar el código de los errores HTTP y devolver mensajes genéricos.</t>
  </si>
  <si>
    <t>El estado 'en_adopcion' que usan seed.py y la API no existe en el enum mascotas.estado; MariaDB lo guarda vacío y el catálogo de adopción siempre devuelve 0 mascotas. La web lo oculta mostrando mascotas fijas. Corrección: alinear el enum o usar la tabla adopciones, y activar el modo SQL estricto.</t>
  </si>
  <si>
    <t>El carné acepta una próxima dosis anterior a la fecha de aplicación: no hay validación de fechas en la BD ni en la lógica. Corrección: validar en la capa de servicio del carné y agregar una restricción CHECK en la BD.</t>
  </si>
  <si>
    <t>buscar_por_nombre() del directorio incluye proveedores inactivos, a diferencia de consultar_por_ciudad(). Corrección: agregar 'AND activo = TRUE' a la consulta.</t>
  </si>
  <si>
    <t>RESUMEN DE RESULTADOS — PETCONNECT</t>
  </si>
  <si>
    <t>Total de casos de prueba</t>
  </si>
  <si>
    <t>Aprobados</t>
  </si>
  <si>
    <t>Rechazados</t>
  </si>
  <si>
    <t>Casos ejecutados</t>
  </si>
  <si>
    <t>Severidad Alta</t>
  </si>
  <si>
    <t>Severidad Media</t>
  </si>
  <si>
    <t>Severidad Baja</t>
  </si>
  <si>
    <t>No conformidades registradas</t>
  </si>
  <si>
    <t>% Aprobación</t>
  </si>
  <si>
    <t>Defectos abiertos</t>
  </si>
  <si>
    <t>Ejecución real del 05/10/2026 con el script pruebas_aa2.py sobre una base de datos aislada; evidencias en Documentacion/Evidencias-GA9-AA2-EV01.</t>
  </si>
  <si>
    <t>FIRMA DE APROBACIÓN</t>
  </si>
  <si>
    <t>Nombre del Analista:</t>
  </si>
  <si>
    <t>Daniel Santiago Jiménez Guzmán – Líder de pruebas (QA) y Scrum Master</t>
  </si>
  <si>
    <t>Firma:</t>
  </si>
  <si>
    <t>______________________________</t>
  </si>
  <si>
    <t>Fecha:</t>
  </si>
  <si>
    <t>TRAZABILIDAD DE REQUERIMIENTOS (ERS) Y CASOS DE PRUEBA</t>
  </si>
  <si>
    <t>Requerimiento</t>
  </si>
  <si>
    <t>Descripción (ERS)</t>
  </si>
  <si>
    <t>Casos de Prueba</t>
  </si>
  <si>
    <t>Seguimiento / Cobertura Pendiente</t>
  </si>
  <si>
    <t>RF01</t>
  </si>
  <si>
    <t>Registro de usuario mediante formulario</t>
  </si>
  <si>
    <t>CP-001, CP-002, CP-009, CP-011</t>
  </si>
  <si>
    <t>NC-004 (contraseña sin minúscula)</t>
  </si>
  <si>
    <t>RF02</t>
  </si>
  <si>
    <t>Ingreso de los datos de una mascota</t>
  </si>
  <si>
    <t>Módulo stand-alone; endpoint REST pendiente</t>
  </si>
  <si>
    <t>Almacenamiento del carné de vacunación</t>
  </si>
  <si>
    <t>CP-004, CP-010</t>
  </si>
  <si>
    <t>NC-010; módulo de app y API en el Sprint 2</t>
  </si>
  <si>
    <t>RF04</t>
  </si>
  <si>
    <t>Registro de más de una mascota por usuario</t>
  </si>
  <si>
    <t>—</t>
  </si>
  <si>
    <t>RF05</t>
  </si>
  <si>
    <t>Opciones de exploración después del registro</t>
  </si>
  <si>
    <t>Prueba E2E del menú en el Sprint 1 (plan, CP-007)</t>
  </si>
  <si>
    <t>Directorio de servicios veterinarios</t>
  </si>
  <si>
    <t>NC-011 (proveedores inactivos)</t>
  </si>
  <si>
    <t>RF07</t>
  </si>
  <si>
    <t>Comunidad de dueños de mascotas</t>
  </si>
  <si>
    <t>Sprint 2 (plan, CP-014); las tablas ya existen en la BD</t>
  </si>
  <si>
    <t>RF08</t>
  </si>
  <si>
    <t>Diario de salud y comportamiento</t>
  </si>
  <si>
    <t>Sprint 2 (plan, CP-015)</t>
  </si>
  <si>
    <t>Publicación y adopción de mascotas</t>
  </si>
  <si>
    <t>NC-009 (catálogo de adopción vacío)</t>
  </si>
  <si>
    <t>RF10</t>
  </si>
  <si>
    <t>GPS en tiempo real</t>
  </si>
  <si>
    <t>Fuera de alcance</t>
  </si>
  <si>
    <t>Versión premium</t>
  </si>
  <si>
    <t>RF11</t>
  </si>
  <si>
    <t>Tienda virtual integrada</t>
  </si>
  <si>
    <t>RNF01</t>
  </si>
  <si>
    <t>Disponibilidad 24/7 de al menos 99 %</t>
  </si>
  <si>
    <t>Monitoreo del staging en el Sprint 3</t>
  </si>
  <si>
    <t>RNF02</t>
  </si>
  <si>
    <t>Interfaz intuitiva para usuarios no técnicos</t>
  </si>
  <si>
    <t>Cuestionario SUS en el Sprint 3 (plan, CP-018)</t>
  </si>
  <si>
    <t>RNF03</t>
  </si>
  <si>
    <t>Información protegida con autenticación y cifrado</t>
  </si>
  <si>
    <t>CP-006, CP-007</t>
  </si>
  <si>
    <t>NC-001 y NC-002</t>
  </si>
  <si>
    <t>RNF04</t>
  </si>
  <si>
    <t>Tiempo de respuesta ≤ 2 s por acción</t>
  </si>
  <si>
    <t>CP-008, CP-009</t>
  </si>
  <si>
    <t>NC-003 (500 usuarios)</t>
  </si>
  <si>
    <t>RNF05</t>
  </si>
  <si>
    <t>Compatibilidad con móviles y navegadores</t>
  </si>
  <si>
    <t>Matriz de compatibilidad en el Sprint 3 (plan, CP-019)</t>
  </si>
  <si>
    <t>RNF06</t>
  </si>
  <si>
    <t>Cumplimiento de la ley de protección de datos</t>
  </si>
  <si>
    <t>Autorización de datos: NC-005 del plan</t>
  </si>
  <si>
    <t>RNF07</t>
  </si>
  <si>
    <t>Respaldos diarios</t>
  </si>
  <si>
    <t>Prueba de respaldo y restauración en el Sprint 3</t>
  </si>
  <si>
    <t>RIU01</t>
  </si>
  <si>
    <t>Registro con nombre, correo y contraseña</t>
  </si>
  <si>
    <t>CP-001, CP-002, CP-011</t>
  </si>
  <si>
    <t>RIU02</t>
  </si>
  <si>
    <t>Formulario de mascota con nombre, especie, raza, edad y foto</t>
  </si>
  <si>
    <t>RIU03</t>
  </si>
  <si>
    <t>Menú principal con íconos de cada funcionalidad</t>
  </si>
  <si>
    <t>Revisión de interfaz en el Sprint 1</t>
  </si>
  <si>
    <t>RS01</t>
  </si>
  <si>
    <t>Autenticación obligatoria para áreas privadas</t>
  </si>
  <si>
    <t>CP-001, CP-006, CP-011</t>
  </si>
  <si>
    <t>NC-002 (endpoint sin autenticación)</t>
  </si>
  <si>
    <t>RS02</t>
  </si>
  <si>
    <t>Carné visible solo por el dueño</t>
  </si>
  <si>
    <t>RS03</t>
  </si>
  <si>
    <t>Contraseñas cifradas con un algoritmo seguro</t>
  </si>
  <si>
    <t>CP-002, CP-007</t>
  </si>
  <si>
    <t>NC-001 y NC-004</t>
  </si>
  <si>
    <t>RR01</t>
  </si>
  <si>
    <t>Soporte de 1000 usuarios simultáneos</t>
  </si>
  <si>
    <t>NC-003; falla desde 500 usuarios</t>
  </si>
  <si>
    <t>RR02</t>
  </si>
  <si>
    <t>Carga de cada módulo ≤ 5 s (corregido de 5 minutos)</t>
  </si>
  <si>
    <t>NC-003 (p95 de 30 s)</t>
  </si>
  <si>
    <t>RM01</t>
  </si>
  <si>
    <t>Agregar módulos sin afectar los existentes</t>
  </si>
  <si>
    <t>Regresión automatizada en integración continua</t>
  </si>
  <si>
    <t>RM02</t>
  </si>
  <si>
    <t>Base de datos escalable horizontalmente</t>
  </si>
  <si>
    <t>NC-003 (conexión única)</t>
  </si>
  <si>
    <t>MATRIZ RESUMEN DE SEGUIMIENTO</t>
  </si>
  <si>
    <t>ID</t>
  </si>
  <si>
    <t>Nombre Caso</t>
  </si>
  <si>
    <t>Fecha</t>
  </si>
  <si>
    <t>Estado Corrección</t>
  </si>
  <si>
    <t>Camilo Orjuela y Jazmín Bautista (confirmación: Daniel Jiménez)</t>
  </si>
  <si>
    <t>Nota: la plantilla tiene tres niveles de severidad (Alta, Media, Baja). NC-001, que el plan de pruebas clasifica como crítica, se registra aquí como Alta. Códigos y severidades coinciden con la bitácora del plan GA9-220501096-AA1-EV02 (versión 2.2).</t>
  </si>
  <si>
    <t>Con 500 usuarios, p95 de 30 s y 56 % de errores. La conexión única a la base de datos (Singleton) compartida entre hilos se corrompe ('MySQL Connection not available', 'bytearray index out of range'). Corrección: pool de conexiones, paginación y Gunicorn.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</si>
</sst>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family val="2"/>
      <charset val="1"/>
    </font>
    <font>
      <b/>
      <sz val="14"/>
      <color rgb="FFFFFFFF"/>
      <name val="Arial"/>
      <charset val="1"/>
    </font>
    <font>
      <i/>
      <sz val="10"/>
      <color rgb="FF1B2A4A"/>
      <name val="Calibri"/>
      <charset val="1"/>
    </font>
    <font>
      <b/>
      <sz val="11"/>
      <color rgb="FF1B2A4A"/>
      <name val="Calibri"/>
      <charset val="1"/>
    </font>
    <font>
      <sz val="11"/>
      <name val="Calibri"/>
      <charset val="1"/>
    </font>
    <font>
      <b/>
      <sz val="13"/>
      <color rgb="FFFFFFFF"/>
      <name val="Arial"/>
      <charset val="1"/>
    </font>
    <font>
      <b/>
      <sz val="11"/>
      <color rgb="FFFFFFFF"/>
      <name val="Arial"/>
      <charset val="1"/>
    </font>
    <font>
      <b/>
      <sz val="10"/>
      <color rgb="FFFFFFFF"/>
      <name val="Arial"/>
      <charset val="1"/>
    </font>
    <font>
      <b/>
      <sz val="10"/>
      <color rgb="FF059669"/>
      <name val="Calibri"/>
      <charset val="1"/>
    </font>
    <font>
      <b/>
      <sz val="10"/>
      <color rgb="FFD97706"/>
      <name val="Calibri"/>
      <charset val="1"/>
    </font>
    <font>
      <b/>
      <sz val="10"/>
      <color rgb="FFDC2626"/>
      <name val="Calibri"/>
      <charset val="1"/>
    </font>
    <font>
      <b/>
      <sz val="10"/>
      <color rgb="FFF97316"/>
      <name val="Calibri"/>
      <charset val="1"/>
    </font>
    <font>
      <b/>
      <sz val="10"/>
      <color rgb="FF3B82F6"/>
      <name val="Calibri"/>
      <charset val="1"/>
    </font>
    <font>
      <b/>
      <sz val="11"/>
      <color rgb="FF059669"/>
      <name val="Calibri"/>
      <charset val="1"/>
    </font>
    <font>
      <b/>
      <sz val="11"/>
      <color rgb="FFD97706"/>
      <name val="Calibri"/>
      <charset val="1"/>
    </font>
    <font>
      <b/>
      <sz val="11"/>
      <color rgb="FFDC2626"/>
      <name val="Calibri"/>
      <charset val="1"/>
    </font>
    <font>
      <b/>
      <sz val="12"/>
      <color rgb="FF1B2A4A"/>
      <name val="Arial"/>
      <charset val="1"/>
    </font>
    <font>
      <sz val="11"/>
      <name val="Calibri"/>
      <family val="2"/>
    </font>
    <font>
      <i/>
      <sz val="9"/>
      <color rgb="FF1B2A4A"/>
      <name val="Calibri"/>
    </font>
    <font>
      <b/>
      <sz val="10"/>
      <color rgb="FF6B7280"/>
      <name val="Calibri"/>
    </font>
    <font>
      <b/>
      <i/>
      <sz val="10"/>
      <color rgb="FF6B7280"/>
      <name val="Calibri"/>
    </font>
    <font>
      <i/>
      <sz val="9"/>
      <color theme="1"/>
      <name val="Calibri"/>
      <family val="2"/>
    </font>
  </fonts>
  <fills count="15">
    <fill>
      <patternFill patternType="none"/>
    </fill>
    <fill>
      <patternFill patternType="gray125"/>
    </fill>
    <fill>
      <patternFill patternType="solid">
        <fgColor rgb="FF39A900"/>
        <bgColor rgb="FF008000"/>
      </patternFill>
    </fill>
    <fill>
      <patternFill patternType="solid">
        <fgColor rgb="FFE8F5E0"/>
        <bgColor rgb="FFDCFCE7"/>
      </patternFill>
    </fill>
    <fill>
      <patternFill patternType="solid">
        <fgColor rgb="FF1B2A4A"/>
        <bgColor rgb="FF003366"/>
      </patternFill>
    </fill>
    <fill>
      <patternFill patternType="solid">
        <fgColor rgb="FFFFFFFF"/>
        <bgColor rgb="FFF4F6F8"/>
      </patternFill>
    </fill>
    <fill>
      <patternFill patternType="solid">
        <fgColor rgb="FFDCFCE7"/>
        <bgColor rgb="FFE8F5E0"/>
      </patternFill>
    </fill>
    <fill>
      <patternFill patternType="solid">
        <fgColor rgb="FFF4F6F8"/>
        <bgColor rgb="FFFFFFFF"/>
      </patternFill>
    </fill>
    <fill>
      <patternFill patternType="solid">
        <fgColor rgb="FFFEF3C7"/>
        <bgColor rgb="FFE8F5E0"/>
      </patternFill>
    </fill>
    <fill>
      <patternFill patternType="solid">
        <fgColor rgb="FFFEE2E2"/>
        <bgColor rgb="FFFEF3C7"/>
      </patternFill>
    </fill>
    <fill>
      <patternFill patternType="solid">
        <fgColor rgb="FFF59E0B"/>
        <bgColor rgb="FFF97316"/>
      </patternFill>
    </fill>
    <fill>
      <patternFill patternType="solid">
        <fgColor rgb="FF8B5CF6"/>
        <bgColor rgb="FF9999FF"/>
      </patternFill>
    </fill>
    <fill>
      <patternFill patternType="solid">
        <fgColor rgb="FF39A900"/>
      </patternFill>
    </fill>
    <fill>
      <patternFill patternType="solid">
        <fgColor rgb="FFF3F4F6"/>
      </patternFill>
    </fill>
    <fill>
      <patternFill patternType="solid">
        <fgColor rgb="FF1B2A4A"/>
      </patternFill>
    </fill>
  </fills>
  <borders count="5">
    <border>
      <left/>
      <right/>
      <top/>
      <bottom/>
      <diagonal/>
    </border>
    <border>
      <left style="thin">
        <color rgb="FFD1D5DB"/>
      </left>
      <right style="thin">
        <color rgb="FFD1D5DB"/>
      </right>
      <top style="thin">
        <color rgb="FFD1D5DB"/>
      </top>
      <bottom style="thin">
        <color rgb="FFD1D5DB"/>
      </bottom>
      <diagonal/>
    </border>
    <border>
      <left style="thin">
        <color rgb="FFD1D5DB"/>
      </left>
      <right/>
      <top style="thin">
        <color rgb="FFD1D5DB"/>
      </top>
      <bottom style="thin">
        <color rgb="FFD1D5DB"/>
      </bottom>
      <diagonal/>
    </border>
    <border>
      <left/>
      <right/>
      <top/>
      <bottom style="thin">
        <color auto="1"/>
      </bottom>
      <diagonal/>
    </border>
    <border>
      <left/>
      <right/>
      <top style="thin">
        <color rgb="FFD1D5DB"/>
      </top>
      <bottom style="thin">
        <color rgb="FFD1D5DB"/>
      </bottom>
      <diagonal/>
    </border>
  </borders>
  <cellStyleXfs count="1">
    <xf numFmtId="0" fontId="0" fillId="0" borderId="0"/>
  </cellStyleXfs>
  <cellXfs count="52">
    <xf numFmtId="0" fontId="0" fillId="0" borderId="0" xfId="0"/>
    <xf numFmtId="0" fontId="3" fillId="0" borderId="1" xfId="0" applyFont="1" applyBorder="1" applyAlignment="1">
      <alignment horizontal="left" vertical="center" wrapText="1"/>
    </xf>
    <xf numFmtId="0" fontId="6" fillId="2"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9" fillId="8"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13" fillId="6"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14" fontId="4" fillId="7" borderId="1" xfId="0" applyNumberFormat="1" applyFont="1" applyFill="1" applyBorder="1" applyAlignment="1">
      <alignment horizontal="center" vertical="center" wrapText="1"/>
    </xf>
    <xf numFmtId="0" fontId="4" fillId="3" borderId="1" xfId="0" applyFont="1" applyFill="1" applyBorder="1" applyAlignment="1">
      <alignment horizontal="left" vertical="center" wrapText="1"/>
    </xf>
    <xf numFmtId="14" fontId="4" fillId="5" borderId="1" xfId="0" applyNumberFormat="1" applyFont="1" applyFill="1" applyBorder="1" applyAlignment="1">
      <alignment horizontal="center" vertical="center" wrapText="1"/>
    </xf>
    <xf numFmtId="0" fontId="12" fillId="5" borderId="1" xfId="0" applyFont="1" applyFill="1" applyBorder="1" applyAlignment="1">
      <alignment horizontal="center" vertical="center" wrapText="1"/>
    </xf>
    <xf numFmtId="164" fontId="4" fillId="0" borderId="1" xfId="0" applyNumberFormat="1" applyFont="1" applyBorder="1" applyAlignment="1">
      <alignment horizontal="center" vertical="center" wrapText="1"/>
    </xf>
    <xf numFmtId="0" fontId="19" fillId="13" borderId="1" xfId="0" applyFont="1" applyFill="1" applyBorder="1" applyAlignment="1">
      <alignment horizontal="center" vertical="center" wrapText="1"/>
    </xf>
    <xf numFmtId="0" fontId="20" fillId="13" borderId="1" xfId="0" applyFont="1" applyFill="1" applyBorder="1" applyAlignment="1">
      <alignment horizontal="center" vertical="center" wrapText="1"/>
    </xf>
    <xf numFmtId="14" fontId="4" fillId="5" borderId="1" xfId="0" applyNumberFormat="1" applyFont="1" applyFill="1" applyBorder="1" applyAlignment="1">
      <alignment horizontal="center" vertical="center"/>
    </xf>
    <xf numFmtId="14" fontId="4" fillId="7" borderId="1" xfId="0" applyNumberFormat="1" applyFont="1" applyFill="1" applyBorder="1" applyAlignment="1">
      <alignment horizontal="center" vertical="center"/>
    </xf>
    <xf numFmtId="0" fontId="17" fillId="0" borderId="2" xfId="0" applyFont="1" applyBorder="1" applyAlignment="1">
      <alignment horizontal="left" vertical="center" wrapText="1"/>
    </xf>
    <xf numFmtId="0" fontId="0" fillId="0" borderId="4" xfId="0" applyBorder="1"/>
    <xf numFmtId="0" fontId="4" fillId="0" borderId="2" xfId="0" applyFont="1" applyBorder="1" applyAlignment="1">
      <alignment horizontal="left" vertical="center" wrapText="1"/>
    </xf>
    <xf numFmtId="0" fontId="1" fillId="2" borderId="0" xfId="0" applyFont="1" applyFill="1" applyAlignment="1">
      <alignment horizontal="center" vertical="center" wrapText="1"/>
    </xf>
    <xf numFmtId="0" fontId="0" fillId="0" borderId="0" xfId="0"/>
    <xf numFmtId="0" fontId="2" fillId="3" borderId="0" xfId="0" applyFont="1" applyFill="1" applyAlignment="1">
      <alignment horizontal="center" vertical="center" wrapText="1"/>
    </xf>
    <xf numFmtId="14" fontId="4" fillId="0" borderId="2" xfId="0" applyNumberFormat="1" applyFont="1" applyBorder="1" applyAlignment="1">
      <alignment horizontal="left" vertical="center" wrapText="1"/>
    </xf>
    <xf numFmtId="0" fontId="5" fillId="4" borderId="0" xfId="0" applyFont="1" applyFill="1" applyAlignment="1">
      <alignment horizontal="center" vertical="center" wrapText="1"/>
    </xf>
    <xf numFmtId="0" fontId="5" fillId="2" borderId="0" xfId="0" applyFont="1" applyFill="1" applyAlignment="1">
      <alignment horizontal="center" vertical="center" wrapText="1"/>
    </xf>
    <xf numFmtId="0" fontId="5" fillId="10" borderId="0" xfId="0" applyFont="1" applyFill="1" applyAlignment="1">
      <alignment horizontal="center" vertical="center" wrapText="1"/>
    </xf>
    <xf numFmtId="0" fontId="21" fillId="0" borderId="0" xfId="0" applyFont="1" applyAlignment="1">
      <alignment horizontal="left" wrapText="1"/>
    </xf>
    <xf numFmtId="0" fontId="0" fillId="0" borderId="0" xfId="0" applyAlignment="1">
      <alignment horizontal="left" wrapText="1"/>
    </xf>
    <xf numFmtId="0" fontId="5" fillId="11" borderId="0" xfId="0" applyFont="1" applyFill="1" applyAlignment="1">
      <alignment horizontal="center" vertical="center" wrapText="1"/>
    </xf>
    <xf numFmtId="0" fontId="3" fillId="0" borderId="0" xfId="0" applyFont="1"/>
    <xf numFmtId="14" fontId="4" fillId="0" borderId="3" xfId="0" applyNumberFormat="1" applyFont="1" applyBorder="1" applyAlignment="1">
      <alignment horizontal="left"/>
    </xf>
    <xf numFmtId="0" fontId="0" fillId="0" borderId="3" xfId="0" applyBorder="1"/>
    <xf numFmtId="0" fontId="16" fillId="0" borderId="0" xfId="0" applyFont="1" applyAlignment="1">
      <alignment horizontal="center" vertical="center" wrapText="1"/>
    </xf>
    <xf numFmtId="0" fontId="4" fillId="0" borderId="3" xfId="0" applyFont="1" applyBorder="1"/>
    <xf numFmtId="0" fontId="18" fillId="0" borderId="0" xfId="0" applyFont="1" applyAlignment="1">
      <alignment vertical="center" wrapText="1"/>
    </xf>
    <xf numFmtId="0" fontId="5" fillId="12" borderId="0" xfId="0" applyFont="1" applyFill="1" applyAlignment="1">
      <alignment horizontal="center" vertical="center" wrapText="1"/>
    </xf>
    <xf numFmtId="0" fontId="5" fillId="14"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59669"/>
      <rgbColor rgb="FFC0C0C0"/>
      <rgbColor rgb="FF808080"/>
      <rgbColor rgb="FF9999FF"/>
      <rgbColor rgb="FF993366"/>
      <rgbColor rgb="FFFEF3C7"/>
      <rgbColor rgb="FFDCFCE7"/>
      <rgbColor rgb="FF660066"/>
      <rgbColor rgb="FFD97706"/>
      <rgbColor rgb="FF0066CC"/>
      <rgbColor rgb="FFD1D5DB"/>
      <rgbColor rgb="FF000080"/>
      <rgbColor rgb="FFFF00FF"/>
      <rgbColor rgb="FFFFFF00"/>
      <rgbColor rgb="FF00FFFF"/>
      <rgbColor rgb="FF800080"/>
      <rgbColor rgb="FF800000"/>
      <rgbColor rgb="FF008080"/>
      <rgbColor rgb="FF0000FF"/>
      <rgbColor rgb="FF00CCFF"/>
      <rgbColor rgb="FFF4F6F8"/>
      <rgbColor rgb="FFE8F5E0"/>
      <rgbColor rgb="FFFFFF99"/>
      <rgbColor rgb="FF99CCFF"/>
      <rgbColor rgb="FFFF99CC"/>
      <rgbColor rgb="FFCC99FF"/>
      <rgbColor rgb="FFFEE2E2"/>
      <rgbColor rgb="FF3B82F6"/>
      <rgbColor rgb="FF33CCCC"/>
      <rgbColor rgb="FF99CC00"/>
      <rgbColor rgb="FFFFCC00"/>
      <rgbColor rgb="FFF59E0B"/>
      <rgbColor rgb="FFF97316"/>
      <rgbColor rgb="FF8B5CF6"/>
      <rgbColor rgb="FF969696"/>
      <rgbColor rgb="FF003366"/>
      <rgbColor rgb="FF39A900"/>
      <rgbColor rgb="FF003300"/>
      <rgbColor rgb="FF333300"/>
      <rgbColor rgb="FF993300"/>
      <rgbColor rgb="FF993366"/>
      <rgbColor rgb="FF333399"/>
      <rgbColor rgb="FF1B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9A900"/>
    <pageSetUpPr fitToPage="1"/>
  </sheetPr>
  <dimension ref="A1:F15"/>
  <sheetViews>
    <sheetView showGridLines="0" tabSelected="1" zoomScale="150" zoomScaleNormal="150" workbookViewId="0">
      <selection activeCell="B12" sqref="B12"/>
    </sheetView>
  </sheetViews>
  <sheetFormatPr baseColWidth="10" defaultColWidth="8.7109375" defaultRowHeight="15" x14ac:dyDescent="0.25"/>
  <cols>
    <col min="1" max="1" width="30" customWidth="1"/>
    <col min="2" max="2" width="22" customWidth="1"/>
    <col min="3" max="6" width="15" customWidth="1"/>
  </cols>
  <sheetData>
    <row r="1" spans="1:6" ht="34.5" customHeight="1" x14ac:dyDescent="0.25">
      <c r="A1" s="34" t="s">
        <v>0</v>
      </c>
      <c r="B1" s="35"/>
      <c r="C1" s="35"/>
      <c r="D1" s="35"/>
      <c r="E1" s="35"/>
      <c r="F1" s="35"/>
    </row>
    <row r="2" spans="1:6" ht="24.75" customHeight="1" x14ac:dyDescent="0.25">
      <c r="A2" s="36" t="s">
        <v>1</v>
      </c>
      <c r="B2" s="35"/>
      <c r="C2" s="35"/>
      <c r="D2" s="35"/>
      <c r="E2" s="35"/>
      <c r="F2" s="35"/>
    </row>
    <row r="4" spans="1:6" ht="37.15" customHeight="1" x14ac:dyDescent="0.25">
      <c r="A4" s="1" t="s">
        <v>2</v>
      </c>
      <c r="B4" s="33" t="s">
        <v>3</v>
      </c>
      <c r="C4" s="32"/>
      <c r="D4" s="32"/>
      <c r="E4" s="32"/>
      <c r="F4" s="32"/>
    </row>
    <row r="5" spans="1:6" ht="22.7" customHeight="1" x14ac:dyDescent="0.25">
      <c r="A5" s="1" t="s">
        <v>4</v>
      </c>
      <c r="B5" s="33" t="s">
        <v>5</v>
      </c>
      <c r="C5" s="32"/>
      <c r="D5" s="32"/>
      <c r="E5" s="32"/>
      <c r="F5" s="32"/>
    </row>
    <row r="6" spans="1:6" ht="22.7" customHeight="1" x14ac:dyDescent="0.25">
      <c r="A6" s="1" t="s">
        <v>6</v>
      </c>
      <c r="B6" s="37">
        <v>46300</v>
      </c>
      <c r="C6" s="32"/>
      <c r="D6" s="32"/>
      <c r="E6" s="32"/>
      <c r="F6" s="32"/>
    </row>
    <row r="7" spans="1:6" ht="22.7" customHeight="1" x14ac:dyDescent="0.25">
      <c r="A7" s="1" t="s">
        <v>7</v>
      </c>
      <c r="B7" s="37">
        <v>46300</v>
      </c>
      <c r="C7" s="32"/>
      <c r="D7" s="32"/>
      <c r="E7" s="32"/>
      <c r="F7" s="32"/>
    </row>
    <row r="8" spans="1:6" ht="22.7" customHeight="1" x14ac:dyDescent="0.25">
      <c r="A8" s="1" t="s">
        <v>8</v>
      </c>
      <c r="B8" s="33" t="s">
        <v>9</v>
      </c>
      <c r="C8" s="32"/>
      <c r="D8" s="32"/>
      <c r="E8" s="32"/>
      <c r="F8" s="32"/>
    </row>
    <row r="9" spans="1:6" ht="22.7" customHeight="1" x14ac:dyDescent="0.25">
      <c r="A9" s="1" t="s">
        <v>10</v>
      </c>
      <c r="B9" s="33" t="s">
        <v>11</v>
      </c>
      <c r="C9" s="32"/>
      <c r="D9" s="32"/>
      <c r="E9" s="32"/>
      <c r="F9" s="32"/>
    </row>
    <row r="10" spans="1:6" ht="22.7" customHeight="1" x14ac:dyDescent="0.25">
      <c r="A10" s="1" t="s">
        <v>12</v>
      </c>
      <c r="B10" s="33" t="s">
        <v>13</v>
      </c>
      <c r="C10" s="32"/>
      <c r="D10" s="32"/>
      <c r="E10" s="32"/>
      <c r="F10" s="32"/>
    </row>
    <row r="11" spans="1:6" ht="22.7" customHeight="1" x14ac:dyDescent="0.25">
      <c r="A11" s="1" t="s">
        <v>14</v>
      </c>
      <c r="B11" s="31" t="s">
        <v>15</v>
      </c>
      <c r="C11" s="32"/>
      <c r="D11" s="32"/>
      <c r="E11" s="32"/>
      <c r="F11" s="32"/>
    </row>
    <row r="12" spans="1:6" ht="22.7" customHeight="1" x14ac:dyDescent="0.25">
      <c r="A12" s="1" t="s">
        <v>16</v>
      </c>
      <c r="B12" s="31" t="s">
        <v>17</v>
      </c>
      <c r="C12" s="32"/>
      <c r="D12" s="32"/>
      <c r="E12" s="32"/>
      <c r="F12" s="32"/>
    </row>
    <row r="13" spans="1:6" ht="37.15" customHeight="1" x14ac:dyDescent="0.25">
      <c r="A13" s="1" t="s">
        <v>18</v>
      </c>
      <c r="B13" s="31" t="s">
        <v>19</v>
      </c>
      <c r="C13" s="32"/>
      <c r="D13" s="32"/>
      <c r="E13" s="32"/>
      <c r="F13" s="32"/>
    </row>
    <row r="14" spans="1:6" ht="37.15" customHeight="1" x14ac:dyDescent="0.25">
      <c r="A14" s="1" t="s">
        <v>20</v>
      </c>
      <c r="B14" s="31" t="s">
        <v>21</v>
      </c>
      <c r="C14" s="32"/>
      <c r="D14" s="32"/>
      <c r="E14" s="32"/>
      <c r="F14" s="32"/>
    </row>
    <row r="15" spans="1:6" ht="37.15" customHeight="1" x14ac:dyDescent="0.25">
      <c r="A15" s="1" t="s">
        <v>22</v>
      </c>
      <c r="B15" s="31" t="s">
        <v>23</v>
      </c>
      <c r="C15" s="32"/>
      <c r="D15" s="32"/>
      <c r="E15" s="32"/>
      <c r="F15" s="32"/>
    </row>
  </sheetData>
  <mergeCells count="14">
    <mergeCell ref="B15:F15"/>
    <mergeCell ref="B10:F10"/>
    <mergeCell ref="B11:F11"/>
    <mergeCell ref="A1:F1"/>
    <mergeCell ref="B5:F5"/>
    <mergeCell ref="B14:F14"/>
    <mergeCell ref="B8:F8"/>
    <mergeCell ref="B9:F9"/>
    <mergeCell ref="B13:F13"/>
    <mergeCell ref="B4:F4"/>
    <mergeCell ref="A2:F2"/>
    <mergeCell ref="B12:F12"/>
    <mergeCell ref="B7:F7"/>
    <mergeCell ref="B6:F6"/>
  </mergeCells>
  <pageMargins left="0.4" right="0.4" top="0.5" bottom="0.5" header="0.511811023622047" footer="0.511811023622047"/>
  <pageSetup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B82F6"/>
    <pageSetUpPr fitToPage="1"/>
  </sheetPr>
  <dimension ref="A1:C17"/>
  <sheetViews>
    <sheetView showGridLines="0" zoomScale="120" zoomScaleNormal="120" workbookViewId="0">
      <selection activeCell="C16" sqref="C16"/>
    </sheetView>
  </sheetViews>
  <sheetFormatPr baseColWidth="10" defaultColWidth="8.7109375" defaultRowHeight="15" x14ac:dyDescent="0.25"/>
  <cols>
    <col min="1" max="1" width="25" customWidth="1"/>
    <col min="2" max="2" width="60" customWidth="1"/>
    <col min="3" max="3" width="45" customWidth="1"/>
  </cols>
  <sheetData>
    <row r="1" spans="1:3" ht="31.5" customHeight="1" x14ac:dyDescent="0.25">
      <c r="A1" s="38" t="s">
        <v>24</v>
      </c>
      <c r="B1" s="35"/>
      <c r="C1" s="35"/>
    </row>
    <row r="2" spans="1:3" x14ac:dyDescent="0.25">
      <c r="A2" s="2" t="s">
        <v>25</v>
      </c>
      <c r="B2" s="2" t="s">
        <v>26</v>
      </c>
      <c r="C2" s="2" t="s">
        <v>27</v>
      </c>
    </row>
    <row r="3" spans="1:3" ht="51.75" customHeight="1" x14ac:dyDescent="0.25">
      <c r="A3" s="3" t="s">
        <v>28</v>
      </c>
      <c r="B3" s="23" t="s">
        <v>29</v>
      </c>
      <c r="C3" s="23" t="s">
        <v>30</v>
      </c>
    </row>
    <row r="4" spans="1:3" ht="51.75" customHeight="1" x14ac:dyDescent="0.25">
      <c r="A4" s="4" t="s">
        <v>31</v>
      </c>
      <c r="B4" s="5" t="s">
        <v>32</v>
      </c>
      <c r="C4" s="5" t="s">
        <v>33</v>
      </c>
    </row>
    <row r="5" spans="1:3" ht="51.75" customHeight="1" x14ac:dyDescent="0.25">
      <c r="A5" s="3" t="s">
        <v>34</v>
      </c>
      <c r="B5" s="23" t="s">
        <v>35</v>
      </c>
      <c r="C5" s="23" t="s">
        <v>36</v>
      </c>
    </row>
    <row r="6" spans="1:3" ht="66.400000000000006" customHeight="1" x14ac:dyDescent="0.25">
      <c r="A6" s="4" t="s">
        <v>37</v>
      </c>
      <c r="B6" s="5" t="s">
        <v>38</v>
      </c>
      <c r="C6" s="5" t="s">
        <v>39</v>
      </c>
    </row>
    <row r="7" spans="1:3" ht="51.75" customHeight="1" x14ac:dyDescent="0.25">
      <c r="A7" s="3" t="s">
        <v>40</v>
      </c>
      <c r="B7" s="23" t="s">
        <v>41</v>
      </c>
      <c r="C7" s="23" t="s">
        <v>42</v>
      </c>
    </row>
    <row r="8" spans="1:3" ht="37.15" customHeight="1" x14ac:dyDescent="0.25">
      <c r="A8" s="4" t="s">
        <v>43</v>
      </c>
      <c r="B8" s="5" t="s">
        <v>44</v>
      </c>
      <c r="C8" s="5" t="s">
        <v>45</v>
      </c>
    </row>
    <row r="9" spans="1:3" ht="37.15" customHeight="1" x14ac:dyDescent="0.25">
      <c r="A9" s="3" t="s">
        <v>46</v>
      </c>
      <c r="B9" s="23" t="s">
        <v>47</v>
      </c>
      <c r="C9" s="23" t="s">
        <v>48</v>
      </c>
    </row>
    <row r="10" spans="1:3" ht="51.75" customHeight="1" x14ac:dyDescent="0.25">
      <c r="A10" s="4" t="s">
        <v>49</v>
      </c>
      <c r="B10" s="5" t="s">
        <v>50</v>
      </c>
      <c r="C10" s="5" t="s">
        <v>51</v>
      </c>
    </row>
    <row r="11" spans="1:3" ht="37.15" customHeight="1" x14ac:dyDescent="0.25">
      <c r="A11" s="3" t="s">
        <v>52</v>
      </c>
      <c r="B11" s="23" t="s">
        <v>53</v>
      </c>
      <c r="C11" s="23" t="s">
        <v>54</v>
      </c>
    </row>
    <row r="12" spans="1:3" ht="37.15" customHeight="1" x14ac:dyDescent="0.25">
      <c r="A12" s="4" t="s">
        <v>55</v>
      </c>
      <c r="B12" s="5" t="s">
        <v>56</v>
      </c>
      <c r="C12" s="5" t="s">
        <v>57</v>
      </c>
    </row>
    <row r="13" spans="1:3" ht="51.75" customHeight="1" x14ac:dyDescent="0.25">
      <c r="A13" s="3" t="s">
        <v>58</v>
      </c>
      <c r="B13" s="23" t="s">
        <v>59</v>
      </c>
      <c r="C13" s="23" t="s">
        <v>60</v>
      </c>
    </row>
    <row r="14" spans="1:3" ht="37.15" customHeight="1" x14ac:dyDescent="0.25">
      <c r="A14" s="4" t="s">
        <v>61</v>
      </c>
      <c r="B14" s="5" t="s">
        <v>62</v>
      </c>
      <c r="C14" s="5" t="s">
        <v>63</v>
      </c>
    </row>
    <row r="15" spans="1:3" ht="81" customHeight="1" x14ac:dyDescent="0.25">
      <c r="A15" s="3" t="s">
        <v>64</v>
      </c>
      <c r="B15" s="23" t="s">
        <v>65</v>
      </c>
      <c r="C15" s="23" t="s">
        <v>66</v>
      </c>
    </row>
    <row r="16" spans="1:3" ht="37.15" customHeight="1" x14ac:dyDescent="0.25">
      <c r="A16" s="4" t="s">
        <v>67</v>
      </c>
      <c r="B16" s="5" t="s">
        <v>68</v>
      </c>
      <c r="C16" s="5" t="s">
        <v>69</v>
      </c>
    </row>
    <row r="17" spans="1:3" ht="37.15" customHeight="1" x14ac:dyDescent="0.25">
      <c r="A17" s="3" t="s">
        <v>70</v>
      </c>
      <c r="B17" s="23" t="s">
        <v>71</v>
      </c>
      <c r="C17" s="23" t="s">
        <v>72</v>
      </c>
    </row>
  </sheetData>
  <mergeCells count="1">
    <mergeCell ref="A1:C1"/>
  </mergeCells>
  <pageMargins left="0.4" right="0.4" top="0.5" bottom="0.5"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9A900"/>
    <pageSetUpPr fitToPage="1"/>
  </sheetPr>
  <dimension ref="A1:P14"/>
  <sheetViews>
    <sheetView showGridLines="0" tabSelected="1" topLeftCell="G1" zoomScale="120" zoomScaleNormal="120" workbookViewId="0">
      <pane xSplit="2" ySplit="2" topLeftCell="C3" activePane="bottomRight" state="frozen"/>
      <selection pane="topRight"/>
      <selection pane="bottomLeft" activeCell="B12" sqref="B12"/>
      <selection pane="bottomRight" activeCell="B12" sqref="B12"/>
    </sheetView>
  </sheetViews>
  <sheetFormatPr baseColWidth="10" defaultColWidth="8.7109375" defaultRowHeight="15" x14ac:dyDescent="0.25"/>
  <cols>
    <col min="1" max="1" width="9" customWidth="1"/>
    <col min="2" max="2" width="30" customWidth="1"/>
    <col min="3" max="3" width="13" customWidth="1"/>
    <col min="4" max="4" width="50" customWidth="1"/>
    <col min="5" max="5" width="32" customWidth="1"/>
    <col min="6" max="6" width="24" customWidth="1"/>
    <col min="7" max="7" width="20" customWidth="1"/>
    <col min="8" max="8" width="12" customWidth="1"/>
    <col min="9" max="9" width="40" customWidth="1"/>
    <col min="10" max="10" width="50" customWidth="1"/>
    <col min="11" max="11" width="15" customWidth="1"/>
    <col min="12" max="12" width="13" customWidth="1"/>
    <col min="13" max="13" width="11" customWidth="1"/>
    <col min="14" max="14" width="32" customWidth="1"/>
    <col min="15" max="15" width="16" customWidth="1"/>
    <col min="16" max="16" width="24" customWidth="1"/>
  </cols>
  <sheetData>
    <row r="1" spans="1:16" ht="31.5" customHeight="1" x14ac:dyDescent="0.25">
      <c r="A1" s="39" t="s">
        <v>73</v>
      </c>
      <c r="B1" s="35"/>
      <c r="C1" s="35"/>
      <c r="D1" s="35"/>
      <c r="E1" s="35"/>
      <c r="F1" s="35"/>
      <c r="G1" s="35"/>
      <c r="H1" s="35"/>
      <c r="I1" s="35"/>
      <c r="J1" s="35"/>
      <c r="K1" s="35"/>
      <c r="L1" s="35"/>
      <c r="M1" s="35"/>
      <c r="N1" s="35"/>
      <c r="O1" s="35"/>
      <c r="P1" s="35"/>
    </row>
    <row r="2" spans="1:16" ht="39.75" customHeight="1" x14ac:dyDescent="0.25">
      <c r="A2" s="6" t="s">
        <v>74</v>
      </c>
      <c r="B2" s="6" t="s">
        <v>75</v>
      </c>
      <c r="C2" s="6" t="s">
        <v>76</v>
      </c>
      <c r="D2" s="6" t="s">
        <v>77</v>
      </c>
      <c r="E2" s="6" t="s">
        <v>78</v>
      </c>
      <c r="F2" s="6" t="s">
        <v>79</v>
      </c>
      <c r="G2" s="6" t="s">
        <v>80</v>
      </c>
      <c r="H2" s="6" t="s">
        <v>81</v>
      </c>
      <c r="I2" s="6" t="s">
        <v>82</v>
      </c>
      <c r="J2" s="6" t="s">
        <v>83</v>
      </c>
      <c r="K2" s="6" t="s">
        <v>84</v>
      </c>
      <c r="L2" s="6" t="s">
        <v>85</v>
      </c>
      <c r="M2" s="6" t="s">
        <v>86</v>
      </c>
      <c r="N2" s="6" t="s">
        <v>87</v>
      </c>
      <c r="O2" s="6" t="s">
        <v>88</v>
      </c>
      <c r="P2" s="6" t="s">
        <v>89</v>
      </c>
    </row>
    <row r="3" spans="1:16" ht="124.9" customHeight="1" x14ac:dyDescent="0.25">
      <c r="A3" s="7" t="s">
        <v>90</v>
      </c>
      <c r="B3" s="5" t="s">
        <v>91</v>
      </c>
      <c r="C3" s="5" t="s">
        <v>92</v>
      </c>
      <c r="D3" s="5" t="s">
        <v>93</v>
      </c>
      <c r="E3" s="5" t="s">
        <v>94</v>
      </c>
      <c r="F3" s="5" t="s">
        <v>95</v>
      </c>
      <c r="G3" s="5" t="s">
        <v>96</v>
      </c>
      <c r="H3" s="24">
        <v>46300</v>
      </c>
      <c r="I3" s="5" t="s">
        <v>97</v>
      </c>
      <c r="J3" s="5" t="s">
        <v>98</v>
      </c>
      <c r="K3" s="8" t="s">
        <v>99</v>
      </c>
      <c r="L3" s="7" t="s">
        <v>100</v>
      </c>
      <c r="M3" s="7" t="s">
        <v>100</v>
      </c>
      <c r="N3" s="5" t="s">
        <v>101</v>
      </c>
      <c r="O3" s="5" t="s">
        <v>102</v>
      </c>
      <c r="P3" s="5" t="s">
        <v>103</v>
      </c>
    </row>
    <row r="4" spans="1:16" ht="110.25" customHeight="1" x14ac:dyDescent="0.25">
      <c r="A4" s="9" t="s">
        <v>104</v>
      </c>
      <c r="B4" s="10" t="s">
        <v>105</v>
      </c>
      <c r="C4" s="10" t="s">
        <v>92</v>
      </c>
      <c r="D4" s="10" t="s">
        <v>106</v>
      </c>
      <c r="E4" s="10" t="s">
        <v>94</v>
      </c>
      <c r="F4" s="10" t="s">
        <v>95</v>
      </c>
      <c r="G4" s="10" t="s">
        <v>107</v>
      </c>
      <c r="H4" s="22">
        <v>46300</v>
      </c>
      <c r="I4" s="10" t="s">
        <v>108</v>
      </c>
      <c r="J4" s="10" t="s">
        <v>109</v>
      </c>
      <c r="K4" s="11" t="s">
        <v>110</v>
      </c>
      <c r="L4" s="9" t="s">
        <v>111</v>
      </c>
      <c r="M4" s="14" t="s">
        <v>112</v>
      </c>
      <c r="N4" s="10" t="s">
        <v>113</v>
      </c>
      <c r="O4" s="10" t="s">
        <v>114</v>
      </c>
      <c r="P4" s="10" t="s">
        <v>103</v>
      </c>
    </row>
    <row r="5" spans="1:16" ht="95.65" customHeight="1" x14ac:dyDescent="0.25">
      <c r="A5" s="7" t="s">
        <v>115</v>
      </c>
      <c r="B5" s="5" t="s">
        <v>116</v>
      </c>
      <c r="C5" s="5" t="s">
        <v>92</v>
      </c>
      <c r="D5" s="5" t="s">
        <v>117</v>
      </c>
      <c r="E5" s="5" t="s">
        <v>118</v>
      </c>
      <c r="F5" s="5" t="s">
        <v>119</v>
      </c>
      <c r="G5" s="5" t="s">
        <v>120</v>
      </c>
      <c r="H5" s="24">
        <v>46300</v>
      </c>
      <c r="I5" s="5" t="s">
        <v>121</v>
      </c>
      <c r="J5" s="5" t="s">
        <v>122</v>
      </c>
      <c r="K5" s="8" t="s">
        <v>99</v>
      </c>
      <c r="L5" s="7" t="s">
        <v>100</v>
      </c>
      <c r="M5" s="7" t="s">
        <v>100</v>
      </c>
      <c r="N5" s="5" t="s">
        <v>123</v>
      </c>
      <c r="O5" s="5" t="s">
        <v>124</v>
      </c>
      <c r="P5" s="5" t="s">
        <v>103</v>
      </c>
    </row>
    <row r="6" spans="1:16" ht="139.35" customHeight="1" x14ac:dyDescent="0.25">
      <c r="A6" s="9" t="s">
        <v>125</v>
      </c>
      <c r="B6" s="10" t="s">
        <v>126</v>
      </c>
      <c r="C6" s="10" t="s">
        <v>127</v>
      </c>
      <c r="D6" s="10" t="s">
        <v>128</v>
      </c>
      <c r="E6" s="10" t="s">
        <v>94</v>
      </c>
      <c r="F6" s="10" t="s">
        <v>129</v>
      </c>
      <c r="G6" s="10" t="s">
        <v>107</v>
      </c>
      <c r="H6" s="22">
        <v>46300</v>
      </c>
      <c r="I6" s="10" t="s">
        <v>130</v>
      </c>
      <c r="J6" s="10" t="s">
        <v>131</v>
      </c>
      <c r="K6" s="11" t="s">
        <v>110</v>
      </c>
      <c r="L6" s="9" t="s">
        <v>132</v>
      </c>
      <c r="M6" s="14" t="s">
        <v>112</v>
      </c>
      <c r="N6" s="10" t="s">
        <v>133</v>
      </c>
      <c r="O6" s="10" t="s">
        <v>134</v>
      </c>
      <c r="P6" s="10" t="s">
        <v>103</v>
      </c>
    </row>
    <row r="7" spans="1:16" ht="110.25" customHeight="1" x14ac:dyDescent="0.25">
      <c r="A7" s="7" t="s">
        <v>135</v>
      </c>
      <c r="B7" s="5" t="s">
        <v>136</v>
      </c>
      <c r="C7" s="5" t="s">
        <v>92</v>
      </c>
      <c r="D7" s="5" t="s">
        <v>137</v>
      </c>
      <c r="E7" s="5" t="s">
        <v>118</v>
      </c>
      <c r="F7" s="5" t="s">
        <v>138</v>
      </c>
      <c r="G7" s="5" t="s">
        <v>139</v>
      </c>
      <c r="H7" s="24">
        <v>46300</v>
      </c>
      <c r="I7" s="5" t="s">
        <v>140</v>
      </c>
      <c r="J7" s="5" t="s">
        <v>141</v>
      </c>
      <c r="K7" s="11" t="s">
        <v>110</v>
      </c>
      <c r="L7" s="7" t="s">
        <v>142</v>
      </c>
      <c r="M7" s="25" t="s">
        <v>143</v>
      </c>
      <c r="N7" s="5" t="s">
        <v>144</v>
      </c>
      <c r="O7" s="5" t="s">
        <v>145</v>
      </c>
      <c r="P7" s="5" t="s">
        <v>103</v>
      </c>
    </row>
    <row r="8" spans="1:16" ht="95.65" customHeight="1" x14ac:dyDescent="0.25">
      <c r="A8" s="9" t="s">
        <v>146</v>
      </c>
      <c r="B8" s="10" t="s">
        <v>147</v>
      </c>
      <c r="C8" s="10" t="s">
        <v>148</v>
      </c>
      <c r="D8" s="10" t="s">
        <v>149</v>
      </c>
      <c r="E8" s="10" t="s">
        <v>94</v>
      </c>
      <c r="F8" s="10" t="s">
        <v>95</v>
      </c>
      <c r="G8" s="10" t="s">
        <v>96</v>
      </c>
      <c r="H8" s="22">
        <v>46300</v>
      </c>
      <c r="I8" s="10" t="s">
        <v>150</v>
      </c>
      <c r="J8" s="10" t="s">
        <v>151</v>
      </c>
      <c r="K8" s="13" t="s">
        <v>152</v>
      </c>
      <c r="L8" s="9" t="s">
        <v>153</v>
      </c>
      <c r="M8" s="12" t="s">
        <v>154</v>
      </c>
      <c r="N8" s="10" t="s">
        <v>155</v>
      </c>
      <c r="O8" s="10" t="s">
        <v>156</v>
      </c>
      <c r="P8" s="10" t="s">
        <v>103</v>
      </c>
    </row>
    <row r="9" spans="1:16" ht="110.25" customHeight="1" x14ac:dyDescent="0.25">
      <c r="A9" s="7" t="s">
        <v>157</v>
      </c>
      <c r="B9" s="5" t="s">
        <v>158</v>
      </c>
      <c r="C9" s="5" t="s">
        <v>148</v>
      </c>
      <c r="D9" s="5" t="s">
        <v>159</v>
      </c>
      <c r="E9" s="5" t="s">
        <v>94</v>
      </c>
      <c r="F9" s="5" t="s">
        <v>160</v>
      </c>
      <c r="G9" s="5" t="s">
        <v>161</v>
      </c>
      <c r="H9" s="24">
        <v>46300</v>
      </c>
      <c r="I9" s="5" t="s">
        <v>162</v>
      </c>
      <c r="J9" s="5" t="s">
        <v>163</v>
      </c>
      <c r="K9" s="13" t="s">
        <v>152</v>
      </c>
      <c r="L9" s="7" t="s">
        <v>164</v>
      </c>
      <c r="M9" s="17" t="s">
        <v>154</v>
      </c>
      <c r="N9" s="5" t="s">
        <v>165</v>
      </c>
      <c r="O9" s="5" t="s">
        <v>166</v>
      </c>
      <c r="P9" s="5" t="s">
        <v>103</v>
      </c>
    </row>
    <row r="10" spans="1:16" ht="110.25" customHeight="1" x14ac:dyDescent="0.25">
      <c r="A10" s="9" t="s">
        <v>167</v>
      </c>
      <c r="B10" s="10" t="s">
        <v>168</v>
      </c>
      <c r="C10" s="10" t="s">
        <v>169</v>
      </c>
      <c r="D10" s="10" t="s">
        <v>170</v>
      </c>
      <c r="E10" s="10" t="s">
        <v>171</v>
      </c>
      <c r="F10" s="10" t="s">
        <v>172</v>
      </c>
      <c r="G10" s="10" t="s">
        <v>161</v>
      </c>
      <c r="H10" s="22">
        <v>46300</v>
      </c>
      <c r="I10" s="10" t="s">
        <v>173</v>
      </c>
      <c r="J10" s="10" t="s">
        <v>174</v>
      </c>
      <c r="K10" s="13" t="s">
        <v>152</v>
      </c>
      <c r="L10" s="9" t="s">
        <v>175</v>
      </c>
      <c r="M10" s="12" t="s">
        <v>154</v>
      </c>
      <c r="N10" s="10" t="s">
        <v>176</v>
      </c>
      <c r="O10" s="10" t="s">
        <v>177</v>
      </c>
      <c r="P10" s="10" t="s">
        <v>103</v>
      </c>
    </row>
    <row r="11" spans="1:16" ht="95.65" customHeight="1" x14ac:dyDescent="0.25">
      <c r="A11" s="7" t="s">
        <v>178</v>
      </c>
      <c r="B11" s="5" t="s">
        <v>179</v>
      </c>
      <c r="C11" s="5" t="s">
        <v>169</v>
      </c>
      <c r="D11" s="5" t="s">
        <v>180</v>
      </c>
      <c r="E11" s="5" t="s">
        <v>171</v>
      </c>
      <c r="F11" s="5" t="s">
        <v>181</v>
      </c>
      <c r="G11" s="5" t="s">
        <v>161</v>
      </c>
      <c r="H11" s="24">
        <v>46300</v>
      </c>
      <c r="I11" s="5" t="s">
        <v>182</v>
      </c>
      <c r="J11" s="5" t="s">
        <v>183</v>
      </c>
      <c r="K11" s="8" t="s">
        <v>99</v>
      </c>
      <c r="L11" s="7" t="s">
        <v>100</v>
      </c>
      <c r="M11" s="7" t="s">
        <v>100</v>
      </c>
      <c r="N11" s="5" t="s">
        <v>184</v>
      </c>
      <c r="O11" s="5" t="s">
        <v>185</v>
      </c>
      <c r="P11" s="5" t="s">
        <v>103</v>
      </c>
    </row>
    <row r="12" spans="1:16" ht="95.65" customHeight="1" x14ac:dyDescent="0.25">
      <c r="A12" s="9" t="s">
        <v>186</v>
      </c>
      <c r="B12" s="10" t="s">
        <v>187</v>
      </c>
      <c r="C12" s="10" t="s">
        <v>188</v>
      </c>
      <c r="D12" s="10" t="s">
        <v>189</v>
      </c>
      <c r="E12" s="10" t="s">
        <v>190</v>
      </c>
      <c r="F12" s="10" t="s">
        <v>191</v>
      </c>
      <c r="G12" s="10" t="s">
        <v>120</v>
      </c>
      <c r="H12" s="22">
        <v>46300</v>
      </c>
      <c r="I12" s="10" t="s">
        <v>192</v>
      </c>
      <c r="J12" s="10" t="s">
        <v>193</v>
      </c>
      <c r="K12" s="8" t="s">
        <v>99</v>
      </c>
      <c r="L12" s="9" t="s">
        <v>100</v>
      </c>
      <c r="M12" s="9" t="s">
        <v>100</v>
      </c>
      <c r="N12" s="10" t="s">
        <v>194</v>
      </c>
      <c r="O12" s="10" t="s">
        <v>134</v>
      </c>
      <c r="P12" s="10" t="s">
        <v>103</v>
      </c>
    </row>
    <row r="13" spans="1:16" ht="110.25" customHeight="1" x14ac:dyDescent="0.25">
      <c r="A13" s="7" t="s">
        <v>195</v>
      </c>
      <c r="B13" s="5" t="s">
        <v>196</v>
      </c>
      <c r="C13" s="5" t="s">
        <v>188</v>
      </c>
      <c r="D13" s="5" t="s">
        <v>197</v>
      </c>
      <c r="E13" s="5" t="s">
        <v>94</v>
      </c>
      <c r="F13" s="5" t="s">
        <v>95</v>
      </c>
      <c r="G13" s="5" t="s">
        <v>96</v>
      </c>
      <c r="H13" s="24">
        <v>46300</v>
      </c>
      <c r="I13" s="5" t="s">
        <v>198</v>
      </c>
      <c r="J13" s="5" t="s">
        <v>199</v>
      </c>
      <c r="K13" s="8" t="s">
        <v>99</v>
      </c>
      <c r="L13" s="7" t="s">
        <v>100</v>
      </c>
      <c r="M13" s="7" t="s">
        <v>100</v>
      </c>
      <c r="N13" s="5" t="s">
        <v>200</v>
      </c>
      <c r="O13" s="5" t="s">
        <v>102</v>
      </c>
      <c r="P13" s="5" t="s">
        <v>103</v>
      </c>
    </row>
    <row r="14" spans="1:16" ht="124.9" customHeight="1" x14ac:dyDescent="0.25">
      <c r="A14" s="9" t="s">
        <v>201</v>
      </c>
      <c r="B14" s="10" t="s">
        <v>202</v>
      </c>
      <c r="C14" s="10" t="s">
        <v>203</v>
      </c>
      <c r="D14" s="10" t="s">
        <v>204</v>
      </c>
      <c r="E14" s="10" t="s">
        <v>205</v>
      </c>
      <c r="F14" s="10" t="s">
        <v>206</v>
      </c>
      <c r="G14" s="10" t="s">
        <v>139</v>
      </c>
      <c r="H14" s="22">
        <v>46300</v>
      </c>
      <c r="I14" s="10" t="s">
        <v>207</v>
      </c>
      <c r="J14" s="10" t="s">
        <v>208</v>
      </c>
      <c r="K14" s="13" t="s">
        <v>152</v>
      </c>
      <c r="L14" s="9" t="s">
        <v>209</v>
      </c>
      <c r="M14" s="12" t="s">
        <v>154</v>
      </c>
      <c r="N14" s="10" t="s">
        <v>210</v>
      </c>
      <c r="O14" s="10" t="s">
        <v>211</v>
      </c>
      <c r="P14" s="10" t="s">
        <v>103</v>
      </c>
    </row>
  </sheetData>
  <mergeCells count="1">
    <mergeCell ref="A1:P1"/>
  </mergeCells>
  <dataValidations count="3">
    <dataValidation type="list" allowBlank="1" error="Seleccione: Aprobado, En seguimiento o Rechazado" sqref="K3:K50" xr:uid="{00000000-0002-0000-0200-000000000000}">
      <formula1>"Aprobado,En seguimiento,Rechazado"</formula1>
      <formula2>0</formula2>
    </dataValidation>
    <dataValidation type="list" allowBlank="1" sqref="M3:M50" xr:uid="{00000000-0002-0000-0200-000001000000}">
      <formula1>"Alta,Media,Baja,N/A"</formula1>
      <formula2>0</formula2>
    </dataValidation>
    <dataValidation type="list" allowBlank="1" sqref="C3:C50" xr:uid="{00000000-0002-0000-0200-000002000000}">
      <formula1>"Funcional,Seguridad,Rendimiento,Unitaria,Regresión,Aceptación,Integración"</formula1>
      <formula2>0</formula2>
    </dataValidation>
  </dataValidations>
  <pageMargins left="0.4" right="0.4" top="0.5" bottom="0.5"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59E0B"/>
    <pageSetUpPr fitToPage="1"/>
  </sheetPr>
  <dimension ref="A1:H12"/>
  <sheetViews>
    <sheetView showGridLines="0" zoomScaleNormal="100" workbookViewId="0">
      <pane ySplit="2" topLeftCell="A3" activePane="bottomLeft" state="frozen"/>
      <selection activeCell="B12" sqref="B12"/>
      <selection pane="bottomLeft" activeCell="B12" sqref="B12"/>
    </sheetView>
  </sheetViews>
  <sheetFormatPr baseColWidth="10" defaultColWidth="8.7109375" defaultRowHeight="15" x14ac:dyDescent="0.25"/>
  <cols>
    <col min="1" max="1" width="12" customWidth="1"/>
    <col min="2" max="2" width="14" customWidth="1"/>
    <col min="3" max="3" width="60" customWidth="1"/>
    <col min="4" max="4" width="12" customWidth="1"/>
    <col min="5" max="5" width="22" customWidth="1"/>
    <col min="6" max="6" width="14" customWidth="1"/>
    <col min="7" max="7" width="16" customWidth="1"/>
    <col min="8" max="8" width="18" customWidth="1"/>
  </cols>
  <sheetData>
    <row r="1" spans="1:8" ht="31.5" customHeight="1" x14ac:dyDescent="0.25">
      <c r="A1" s="40" t="s">
        <v>212</v>
      </c>
      <c r="B1" s="35"/>
      <c r="C1" s="35"/>
      <c r="D1" s="35"/>
      <c r="E1" s="35"/>
      <c r="F1" s="35"/>
      <c r="G1" s="35"/>
      <c r="H1" s="35"/>
    </row>
    <row r="2" spans="1:8" ht="25.5" customHeight="1" x14ac:dyDescent="0.25">
      <c r="A2" s="6" t="s">
        <v>213</v>
      </c>
      <c r="B2" s="6" t="s">
        <v>214</v>
      </c>
      <c r="C2" s="6" t="s">
        <v>215</v>
      </c>
      <c r="D2" s="6" t="s">
        <v>86</v>
      </c>
      <c r="E2" s="6" t="s">
        <v>216</v>
      </c>
      <c r="F2" s="6" t="s">
        <v>217</v>
      </c>
      <c r="G2" s="6" t="s">
        <v>218</v>
      </c>
      <c r="H2" s="6" t="s">
        <v>219</v>
      </c>
    </row>
    <row r="3" spans="1:8" ht="60" x14ac:dyDescent="0.25">
      <c r="A3" s="7" t="s">
        <v>164</v>
      </c>
      <c r="B3" s="7" t="s">
        <v>157</v>
      </c>
      <c r="C3" s="5" t="s">
        <v>220</v>
      </c>
      <c r="D3" s="17" t="s">
        <v>154</v>
      </c>
      <c r="E3" s="7" t="s">
        <v>348</v>
      </c>
      <c r="F3" s="13" t="s">
        <v>221</v>
      </c>
      <c r="G3" s="24">
        <v>46300</v>
      </c>
      <c r="H3" s="7" t="s">
        <v>222</v>
      </c>
    </row>
    <row r="4" spans="1:8" ht="66.400000000000006" customHeight="1" x14ac:dyDescent="0.25">
      <c r="A4" s="9" t="s">
        <v>153</v>
      </c>
      <c r="B4" s="9" t="s">
        <v>146</v>
      </c>
      <c r="C4" s="10" t="s">
        <v>223</v>
      </c>
      <c r="D4" s="12" t="s">
        <v>154</v>
      </c>
      <c r="E4" s="9" t="s">
        <v>96</v>
      </c>
      <c r="F4" s="13" t="s">
        <v>221</v>
      </c>
      <c r="G4" s="22">
        <v>46300</v>
      </c>
      <c r="H4" s="9" t="s">
        <v>224</v>
      </c>
    </row>
    <row r="5" spans="1:8" ht="66.400000000000006" customHeight="1" x14ac:dyDescent="0.25">
      <c r="A5" s="7" t="s">
        <v>175</v>
      </c>
      <c r="B5" s="7" t="s">
        <v>167</v>
      </c>
      <c r="C5" s="5" t="s">
        <v>350</v>
      </c>
      <c r="D5" s="17" t="s">
        <v>154</v>
      </c>
      <c r="E5" s="7" t="s">
        <v>225</v>
      </c>
      <c r="F5" s="13" t="s">
        <v>221</v>
      </c>
      <c r="G5" s="24">
        <v>46300</v>
      </c>
      <c r="H5" s="7" t="s">
        <v>226</v>
      </c>
    </row>
    <row r="6" spans="1:8" ht="51.75" customHeight="1" x14ac:dyDescent="0.25">
      <c r="A6" s="9" t="s">
        <v>111</v>
      </c>
      <c r="B6" s="9" t="s">
        <v>104</v>
      </c>
      <c r="C6" s="10" t="s">
        <v>227</v>
      </c>
      <c r="D6" s="14" t="s">
        <v>112</v>
      </c>
      <c r="E6" s="9" t="s">
        <v>228</v>
      </c>
      <c r="F6" s="13" t="s">
        <v>221</v>
      </c>
      <c r="G6" s="22">
        <v>46300</v>
      </c>
      <c r="H6" s="9" t="s">
        <v>222</v>
      </c>
    </row>
    <row r="7" spans="1:8" ht="81" customHeight="1" x14ac:dyDescent="0.25">
      <c r="A7" s="7" t="s">
        <v>229</v>
      </c>
      <c r="B7" s="7" t="s">
        <v>230</v>
      </c>
      <c r="C7" s="5" t="s">
        <v>231</v>
      </c>
      <c r="D7" s="17" t="s">
        <v>154</v>
      </c>
      <c r="E7" s="7" t="s">
        <v>96</v>
      </c>
      <c r="F7" s="13" t="s">
        <v>221</v>
      </c>
      <c r="G7" s="24">
        <v>46300</v>
      </c>
      <c r="H7" s="7" t="s">
        <v>224</v>
      </c>
    </row>
    <row r="8" spans="1:8" ht="81" customHeight="1" x14ac:dyDescent="0.25">
      <c r="A8" s="9" t="s">
        <v>209</v>
      </c>
      <c r="B8" s="9" t="s">
        <v>201</v>
      </c>
      <c r="C8" s="10" t="s">
        <v>232</v>
      </c>
      <c r="D8" s="12" t="s">
        <v>154</v>
      </c>
      <c r="E8" s="9" t="s">
        <v>96</v>
      </c>
      <c r="F8" s="13" t="s">
        <v>221</v>
      </c>
      <c r="G8" s="22">
        <v>46300</v>
      </c>
      <c r="H8" s="9" t="s">
        <v>222</v>
      </c>
    </row>
    <row r="9" spans="1:8" ht="60" x14ac:dyDescent="0.25">
      <c r="A9" s="7" t="s">
        <v>132</v>
      </c>
      <c r="B9" s="7" t="s">
        <v>125</v>
      </c>
      <c r="C9" s="5" t="s">
        <v>233</v>
      </c>
      <c r="D9" s="15" t="s">
        <v>112</v>
      </c>
      <c r="E9" s="7" t="s">
        <v>228</v>
      </c>
      <c r="F9" s="13" t="s">
        <v>221</v>
      </c>
      <c r="G9" s="24">
        <v>46300</v>
      </c>
      <c r="H9" s="7" t="s">
        <v>224</v>
      </c>
    </row>
    <row r="10" spans="1:8" ht="51.75" customHeight="1" x14ac:dyDescent="0.25">
      <c r="A10" s="9" t="s">
        <v>142</v>
      </c>
      <c r="B10" s="9" t="s">
        <v>135</v>
      </c>
      <c r="C10" s="10" t="s">
        <v>234</v>
      </c>
      <c r="D10" s="16" t="s">
        <v>143</v>
      </c>
      <c r="E10" s="9" t="s">
        <v>96</v>
      </c>
      <c r="F10" s="13" t="s">
        <v>221</v>
      </c>
      <c r="G10" s="22">
        <v>46300</v>
      </c>
      <c r="H10" s="9" t="s">
        <v>222</v>
      </c>
    </row>
    <row r="12" spans="1:8" ht="30" customHeight="1" x14ac:dyDescent="0.25">
      <c r="A12" s="41" t="s">
        <v>349</v>
      </c>
      <c r="B12" s="42"/>
      <c r="C12" s="42"/>
      <c r="D12" s="42"/>
      <c r="E12" s="42"/>
      <c r="F12" s="42"/>
      <c r="G12" s="42"/>
      <c r="H12" s="42"/>
    </row>
  </sheetData>
  <mergeCells count="2">
    <mergeCell ref="A1:H1"/>
    <mergeCell ref="A12:H12"/>
  </mergeCells>
  <dataValidations count="1">
    <dataValidation type="list" allowBlank="1" sqref="F3:F11 F13:F50" xr:uid="{00000000-0002-0000-0300-000000000000}">
      <formula1>"Pendiente,En proceso,Resuelto,Cerrado"</formula1>
      <formula2>0</formula2>
    </dataValidation>
  </dataValidations>
  <pageMargins left="0.4" right="0.4" top="0.5" bottom="0.5"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B5CF6"/>
    <pageSetUpPr fitToPage="1"/>
  </sheetPr>
  <dimension ref="A1:D21"/>
  <sheetViews>
    <sheetView showGridLines="0" zoomScaleNormal="100" workbookViewId="0">
      <selection activeCell="B12" sqref="B12"/>
    </sheetView>
  </sheetViews>
  <sheetFormatPr baseColWidth="10" defaultColWidth="8.7109375" defaultRowHeight="15" x14ac:dyDescent="0.25"/>
  <cols>
    <col min="1" max="1" width="30" customWidth="1"/>
    <col min="2" max="2" width="15" customWidth="1"/>
    <col min="3" max="4" width="30" customWidth="1"/>
  </cols>
  <sheetData>
    <row r="1" spans="1:4" ht="31.5" customHeight="1" x14ac:dyDescent="0.25">
      <c r="A1" s="43" t="s">
        <v>235</v>
      </c>
      <c r="B1" s="35"/>
      <c r="C1" s="35"/>
      <c r="D1" s="35"/>
    </row>
    <row r="2" spans="1:4" x14ac:dyDescent="0.25">
      <c r="A2" s="1" t="s">
        <v>236</v>
      </c>
      <c r="B2" s="18">
        <f>COUNTA('Casos de Prueba'!A3:A14)</f>
        <v>12</v>
      </c>
    </row>
    <row r="3" spans="1:4" x14ac:dyDescent="0.25">
      <c r="A3" s="1" t="s">
        <v>237</v>
      </c>
      <c r="B3" s="19">
        <f>COUNTIF('Casos de Prueba'!K3:K14,"Aprobado")</f>
        <v>5</v>
      </c>
    </row>
    <row r="4" spans="1:4" x14ac:dyDescent="0.25">
      <c r="A4" s="1" t="s">
        <v>110</v>
      </c>
      <c r="B4" s="20">
        <f>COUNTIF('Casos de Prueba'!K3:K14,"En seguimiento")</f>
        <v>3</v>
      </c>
    </row>
    <row r="5" spans="1:4" x14ac:dyDescent="0.25">
      <c r="A5" s="1" t="s">
        <v>238</v>
      </c>
      <c r="B5" s="21">
        <f>COUNTIF('Casos de Prueba'!K3:K14,"Rechazado")</f>
        <v>4</v>
      </c>
    </row>
    <row r="6" spans="1:4" x14ac:dyDescent="0.25">
      <c r="A6" s="1" t="s">
        <v>239</v>
      </c>
      <c r="B6" s="18">
        <f>COUNTA('Casos de Prueba'!K3:K14)</f>
        <v>12</v>
      </c>
    </row>
    <row r="7" spans="1:4" x14ac:dyDescent="0.25">
      <c r="A7" s="1" t="s">
        <v>240</v>
      </c>
      <c r="B7" s="18">
        <f>COUNTIF('Casos de Prueba'!M3:M14,"Alta")</f>
        <v>4</v>
      </c>
    </row>
    <row r="8" spans="1:4" x14ac:dyDescent="0.25">
      <c r="A8" s="1" t="s">
        <v>241</v>
      </c>
      <c r="B8" s="18">
        <f>COUNTIF('Casos de Prueba'!M3:M14,"Media")</f>
        <v>2</v>
      </c>
    </row>
    <row r="9" spans="1:4" x14ac:dyDescent="0.25">
      <c r="A9" s="1" t="s">
        <v>242</v>
      </c>
      <c r="B9" s="18">
        <f>COUNTIF('Casos de Prueba'!M3:M14,"Baja")</f>
        <v>1</v>
      </c>
    </row>
    <row r="10" spans="1:4" x14ac:dyDescent="0.25">
      <c r="A10" s="1" t="s">
        <v>243</v>
      </c>
      <c r="B10" s="18">
        <f>COUNTIF(Seguimiento!A3:A20,"NC-*")</f>
        <v>8</v>
      </c>
    </row>
    <row r="11" spans="1:4" ht="20.100000000000001" customHeight="1" x14ac:dyDescent="0.25">
      <c r="A11" s="1" t="s">
        <v>244</v>
      </c>
      <c r="B11" s="26">
        <f>IF(B2=0,0,B3/B2)</f>
        <v>0.41666666666666669</v>
      </c>
    </row>
    <row r="12" spans="1:4" x14ac:dyDescent="0.25">
      <c r="A12" s="1" t="s">
        <v>245</v>
      </c>
      <c r="B12" s="18">
        <f>COUNTIFS(Seguimiento!A3:A20,"NC-*",Seguimiento!F3:F20,"&lt;&gt;Cerrado")</f>
        <v>8</v>
      </c>
    </row>
    <row r="13" spans="1:4" ht="30" customHeight="1" x14ac:dyDescent="0.25">
      <c r="A13" s="49" t="s">
        <v>246</v>
      </c>
      <c r="B13" s="35"/>
      <c r="C13" s="35"/>
      <c r="D13" s="35"/>
    </row>
    <row r="15" spans="1:4" ht="15" customHeight="1" x14ac:dyDescent="0.25">
      <c r="A15" s="47" t="s">
        <v>247</v>
      </c>
      <c r="B15" s="35"/>
      <c r="C15" s="35"/>
      <c r="D15" s="35"/>
    </row>
    <row r="17" spans="1:4" x14ac:dyDescent="0.25">
      <c r="A17" s="44" t="s">
        <v>248</v>
      </c>
      <c r="B17" s="35"/>
      <c r="C17" s="48" t="s">
        <v>249</v>
      </c>
      <c r="D17" s="46"/>
    </row>
    <row r="19" spans="1:4" x14ac:dyDescent="0.25">
      <c r="A19" s="44" t="s">
        <v>250</v>
      </c>
      <c r="B19" s="35"/>
      <c r="C19" s="46" t="s">
        <v>251</v>
      </c>
      <c r="D19" s="46"/>
    </row>
    <row r="21" spans="1:4" x14ac:dyDescent="0.25">
      <c r="A21" s="44" t="s">
        <v>252</v>
      </c>
      <c r="B21" s="35"/>
      <c r="C21" s="45">
        <v>46300</v>
      </c>
      <c r="D21" s="46"/>
    </row>
  </sheetData>
  <mergeCells count="9">
    <mergeCell ref="A1:D1"/>
    <mergeCell ref="A21:B21"/>
    <mergeCell ref="C21:D21"/>
    <mergeCell ref="A19:B19"/>
    <mergeCell ref="C19:D19"/>
    <mergeCell ref="A15:D15"/>
    <mergeCell ref="A17:B17"/>
    <mergeCell ref="C17:D17"/>
    <mergeCell ref="A13:D13"/>
  </mergeCells>
  <pageMargins left="0.4" right="0.4" top="0.5" bottom="0.5" header="0.511811023622047" footer="0.511811023622047"/>
  <pageSetup fitToHeight="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30"/>
  <sheetViews>
    <sheetView workbookViewId="0">
      <pane ySplit="2" topLeftCell="A3" activePane="bottomLeft" state="frozen"/>
      <selection pane="bottomLeft"/>
    </sheetView>
  </sheetViews>
  <sheetFormatPr baseColWidth="10" defaultColWidth="9.140625" defaultRowHeight="15" x14ac:dyDescent="0.25"/>
  <cols>
    <col min="1" max="1" width="14" customWidth="1"/>
    <col min="2" max="2" width="46" customWidth="1"/>
    <col min="3" max="3" width="26" customWidth="1"/>
    <col min="4" max="4" width="16" customWidth="1"/>
    <col min="5" max="5" width="46" customWidth="1"/>
  </cols>
  <sheetData>
    <row r="1" spans="1:5" ht="31.5" customHeight="1" x14ac:dyDescent="0.25">
      <c r="A1" s="50" t="s">
        <v>253</v>
      </c>
      <c r="B1" s="35"/>
      <c r="C1" s="35"/>
      <c r="D1" s="35"/>
      <c r="E1" s="35"/>
    </row>
    <row r="2" spans="1:5" ht="30" customHeight="1" x14ac:dyDescent="0.25">
      <c r="A2" s="6" t="s">
        <v>254</v>
      </c>
      <c r="B2" s="6" t="s">
        <v>255</v>
      </c>
      <c r="C2" s="6" t="s">
        <v>256</v>
      </c>
      <c r="D2" s="6" t="s">
        <v>217</v>
      </c>
      <c r="E2" s="6" t="s">
        <v>257</v>
      </c>
    </row>
    <row r="3" spans="1:5" ht="37.15" customHeight="1" x14ac:dyDescent="0.25">
      <c r="A3" s="7" t="s">
        <v>258</v>
      </c>
      <c r="B3" s="5" t="s">
        <v>259</v>
      </c>
      <c r="C3" s="5" t="s">
        <v>260</v>
      </c>
      <c r="D3" s="11" t="s">
        <v>110</v>
      </c>
      <c r="E3" s="5" t="s">
        <v>261</v>
      </c>
    </row>
    <row r="4" spans="1:5" ht="30" customHeight="1" x14ac:dyDescent="0.25">
      <c r="A4" s="9" t="s">
        <v>262</v>
      </c>
      <c r="B4" s="10" t="s">
        <v>263</v>
      </c>
      <c r="C4" s="10" t="s">
        <v>115</v>
      </c>
      <c r="D4" s="8" t="s">
        <v>99</v>
      </c>
      <c r="E4" s="10" t="s">
        <v>264</v>
      </c>
    </row>
    <row r="5" spans="1:5" ht="30" customHeight="1" x14ac:dyDescent="0.25">
      <c r="A5" s="7" t="s">
        <v>134</v>
      </c>
      <c r="B5" s="5" t="s">
        <v>265</v>
      </c>
      <c r="C5" s="5" t="s">
        <v>266</v>
      </c>
      <c r="D5" s="11" t="s">
        <v>110</v>
      </c>
      <c r="E5" s="5" t="s">
        <v>267</v>
      </c>
    </row>
    <row r="6" spans="1:5" ht="30" customHeight="1" x14ac:dyDescent="0.25">
      <c r="A6" s="9" t="s">
        <v>268</v>
      </c>
      <c r="B6" s="10" t="s">
        <v>269</v>
      </c>
      <c r="C6" s="10" t="s">
        <v>115</v>
      </c>
      <c r="D6" s="8" t="s">
        <v>99</v>
      </c>
      <c r="E6" s="10" t="s">
        <v>270</v>
      </c>
    </row>
    <row r="7" spans="1:5" ht="37.15" customHeight="1" x14ac:dyDescent="0.25">
      <c r="A7" s="7" t="s">
        <v>271</v>
      </c>
      <c r="B7" s="5" t="s">
        <v>272</v>
      </c>
      <c r="C7" s="5" t="s">
        <v>270</v>
      </c>
      <c r="D7" s="27" t="s">
        <v>221</v>
      </c>
      <c r="E7" s="5" t="s">
        <v>273</v>
      </c>
    </row>
    <row r="8" spans="1:5" ht="30" customHeight="1" x14ac:dyDescent="0.25">
      <c r="A8" s="9" t="s">
        <v>145</v>
      </c>
      <c r="B8" s="10" t="s">
        <v>274</v>
      </c>
      <c r="C8" s="10" t="s">
        <v>135</v>
      </c>
      <c r="D8" s="11" t="s">
        <v>110</v>
      </c>
      <c r="E8" s="10" t="s">
        <v>275</v>
      </c>
    </row>
    <row r="9" spans="1:5" ht="37.15" customHeight="1" x14ac:dyDescent="0.25">
      <c r="A9" s="7" t="s">
        <v>276</v>
      </c>
      <c r="B9" s="5" t="s">
        <v>277</v>
      </c>
      <c r="C9" s="5" t="s">
        <v>270</v>
      </c>
      <c r="D9" s="27" t="s">
        <v>221</v>
      </c>
      <c r="E9" s="5" t="s">
        <v>278</v>
      </c>
    </row>
    <row r="10" spans="1:5" ht="30" customHeight="1" x14ac:dyDescent="0.25">
      <c r="A10" s="9" t="s">
        <v>279</v>
      </c>
      <c r="B10" s="10" t="s">
        <v>280</v>
      </c>
      <c r="C10" s="10" t="s">
        <v>270</v>
      </c>
      <c r="D10" s="27" t="s">
        <v>221</v>
      </c>
      <c r="E10" s="10" t="s">
        <v>281</v>
      </c>
    </row>
    <row r="11" spans="1:5" ht="30" customHeight="1" x14ac:dyDescent="0.25">
      <c r="A11" s="7" t="s">
        <v>211</v>
      </c>
      <c r="B11" s="5" t="s">
        <v>282</v>
      </c>
      <c r="C11" s="5" t="s">
        <v>201</v>
      </c>
      <c r="D11" s="13" t="s">
        <v>152</v>
      </c>
      <c r="E11" s="5" t="s">
        <v>283</v>
      </c>
    </row>
    <row r="12" spans="1:5" ht="30" customHeight="1" x14ac:dyDescent="0.25">
      <c r="A12" s="9" t="s">
        <v>284</v>
      </c>
      <c r="B12" s="10" t="s">
        <v>285</v>
      </c>
      <c r="C12" s="10" t="s">
        <v>270</v>
      </c>
      <c r="D12" s="28" t="s">
        <v>286</v>
      </c>
      <c r="E12" s="10" t="s">
        <v>287</v>
      </c>
    </row>
    <row r="13" spans="1:5" ht="30" customHeight="1" x14ac:dyDescent="0.25">
      <c r="A13" s="7" t="s">
        <v>288</v>
      </c>
      <c r="B13" s="5" t="s">
        <v>289</v>
      </c>
      <c r="C13" s="5" t="s">
        <v>270</v>
      </c>
      <c r="D13" s="28" t="s">
        <v>286</v>
      </c>
      <c r="E13" s="5" t="s">
        <v>287</v>
      </c>
    </row>
    <row r="14" spans="1:5" ht="30" customHeight="1" x14ac:dyDescent="0.25">
      <c r="A14" s="9" t="s">
        <v>290</v>
      </c>
      <c r="B14" s="10" t="s">
        <v>291</v>
      </c>
      <c r="C14" s="10" t="s">
        <v>270</v>
      </c>
      <c r="D14" s="27" t="s">
        <v>221</v>
      </c>
      <c r="E14" s="10" t="s">
        <v>292</v>
      </c>
    </row>
    <row r="15" spans="1:5" ht="30" customHeight="1" x14ac:dyDescent="0.25">
      <c r="A15" s="7" t="s">
        <v>293</v>
      </c>
      <c r="B15" s="5" t="s">
        <v>294</v>
      </c>
      <c r="C15" s="5" t="s">
        <v>270</v>
      </c>
      <c r="D15" s="27" t="s">
        <v>221</v>
      </c>
      <c r="E15" s="5" t="s">
        <v>295</v>
      </c>
    </row>
    <row r="16" spans="1:5" ht="37.15" customHeight="1" x14ac:dyDescent="0.25">
      <c r="A16" s="9" t="s">
        <v>296</v>
      </c>
      <c r="B16" s="10" t="s">
        <v>297</v>
      </c>
      <c r="C16" s="10" t="s">
        <v>298</v>
      </c>
      <c r="D16" s="13" t="s">
        <v>152</v>
      </c>
      <c r="E16" s="10" t="s">
        <v>299</v>
      </c>
    </row>
    <row r="17" spans="1:5" ht="30" customHeight="1" x14ac:dyDescent="0.25">
      <c r="A17" s="7" t="s">
        <v>300</v>
      </c>
      <c r="B17" s="5" t="s">
        <v>301</v>
      </c>
      <c r="C17" s="5" t="s">
        <v>302</v>
      </c>
      <c r="D17" s="13" t="s">
        <v>152</v>
      </c>
      <c r="E17" s="5" t="s">
        <v>303</v>
      </c>
    </row>
    <row r="18" spans="1:5" ht="37.15" customHeight="1" x14ac:dyDescent="0.25">
      <c r="A18" s="9" t="s">
        <v>304</v>
      </c>
      <c r="B18" s="10" t="s">
        <v>305</v>
      </c>
      <c r="C18" s="10" t="s">
        <v>270</v>
      </c>
      <c r="D18" s="27" t="s">
        <v>221</v>
      </c>
      <c r="E18" s="10" t="s">
        <v>306</v>
      </c>
    </row>
    <row r="19" spans="1:5" ht="30" customHeight="1" x14ac:dyDescent="0.25">
      <c r="A19" s="7" t="s">
        <v>307</v>
      </c>
      <c r="B19" s="5" t="s">
        <v>308</v>
      </c>
      <c r="C19" s="5" t="s">
        <v>270</v>
      </c>
      <c r="D19" s="27" t="s">
        <v>221</v>
      </c>
      <c r="E19" s="5" t="s">
        <v>309</v>
      </c>
    </row>
    <row r="20" spans="1:5" ht="30" customHeight="1" x14ac:dyDescent="0.25">
      <c r="A20" s="9" t="s">
        <v>310</v>
      </c>
      <c r="B20" s="10" t="s">
        <v>311</v>
      </c>
      <c r="C20" s="10" t="s">
        <v>270</v>
      </c>
      <c r="D20" s="27" t="s">
        <v>221</v>
      </c>
      <c r="E20" s="10" t="s">
        <v>312</v>
      </c>
    </row>
    <row r="21" spans="1:5" ht="30" customHeight="1" x14ac:dyDescent="0.25">
      <c r="A21" s="7" t="s">
        <v>313</v>
      </c>
      <c r="B21" s="5" t="s">
        <v>314</v>
      </c>
      <c r="C21" s="5" t="s">
        <v>315</v>
      </c>
      <c r="D21" s="11" t="s">
        <v>110</v>
      </c>
      <c r="E21" s="5" t="s">
        <v>111</v>
      </c>
    </row>
    <row r="22" spans="1:5" ht="37.15" customHeight="1" x14ac:dyDescent="0.25">
      <c r="A22" s="9" t="s">
        <v>316</v>
      </c>
      <c r="B22" s="10" t="s">
        <v>317</v>
      </c>
      <c r="C22" s="10" t="s">
        <v>115</v>
      </c>
      <c r="D22" s="8" t="s">
        <v>99</v>
      </c>
      <c r="E22" s="10" t="s">
        <v>270</v>
      </c>
    </row>
    <row r="23" spans="1:5" ht="30" customHeight="1" x14ac:dyDescent="0.25">
      <c r="A23" s="7" t="s">
        <v>318</v>
      </c>
      <c r="B23" s="5" t="s">
        <v>319</v>
      </c>
      <c r="C23" s="5" t="s">
        <v>270</v>
      </c>
      <c r="D23" s="27" t="s">
        <v>221</v>
      </c>
      <c r="E23" s="5" t="s">
        <v>320</v>
      </c>
    </row>
    <row r="24" spans="1:5" ht="30" customHeight="1" x14ac:dyDescent="0.25">
      <c r="A24" s="9" t="s">
        <v>321</v>
      </c>
      <c r="B24" s="10" t="s">
        <v>322</v>
      </c>
      <c r="C24" s="10" t="s">
        <v>323</v>
      </c>
      <c r="D24" s="13" t="s">
        <v>152</v>
      </c>
      <c r="E24" s="10" t="s">
        <v>324</v>
      </c>
    </row>
    <row r="25" spans="1:5" ht="30" customHeight="1" x14ac:dyDescent="0.25">
      <c r="A25" s="7" t="s">
        <v>325</v>
      </c>
      <c r="B25" s="5" t="s">
        <v>326</v>
      </c>
      <c r="C25" s="5" t="s">
        <v>146</v>
      </c>
      <c r="D25" s="13" t="s">
        <v>152</v>
      </c>
      <c r="E25" s="5" t="s">
        <v>153</v>
      </c>
    </row>
    <row r="26" spans="1:5" ht="30" customHeight="1" x14ac:dyDescent="0.25">
      <c r="A26" s="9" t="s">
        <v>327</v>
      </c>
      <c r="B26" s="10" t="s">
        <v>328</v>
      </c>
      <c r="C26" s="10" t="s">
        <v>329</v>
      </c>
      <c r="D26" s="13" t="s">
        <v>152</v>
      </c>
      <c r="E26" s="10" t="s">
        <v>330</v>
      </c>
    </row>
    <row r="27" spans="1:5" ht="30" customHeight="1" x14ac:dyDescent="0.25">
      <c r="A27" s="7" t="s">
        <v>331</v>
      </c>
      <c r="B27" s="5" t="s">
        <v>332</v>
      </c>
      <c r="C27" s="5" t="s">
        <v>167</v>
      </c>
      <c r="D27" s="13" t="s">
        <v>152</v>
      </c>
      <c r="E27" s="5" t="s">
        <v>333</v>
      </c>
    </row>
    <row r="28" spans="1:5" ht="37.15" customHeight="1" x14ac:dyDescent="0.25">
      <c r="A28" s="9" t="s">
        <v>334</v>
      </c>
      <c r="B28" s="10" t="s">
        <v>335</v>
      </c>
      <c r="C28" s="10" t="s">
        <v>167</v>
      </c>
      <c r="D28" s="13" t="s">
        <v>152</v>
      </c>
      <c r="E28" s="10" t="s">
        <v>336</v>
      </c>
    </row>
    <row r="29" spans="1:5" ht="30" customHeight="1" x14ac:dyDescent="0.25">
      <c r="A29" s="7" t="s">
        <v>337</v>
      </c>
      <c r="B29" s="5" t="s">
        <v>338</v>
      </c>
      <c r="C29" s="5" t="s">
        <v>270</v>
      </c>
      <c r="D29" s="27" t="s">
        <v>221</v>
      </c>
      <c r="E29" s="5" t="s">
        <v>339</v>
      </c>
    </row>
    <row r="30" spans="1:5" ht="30" customHeight="1" x14ac:dyDescent="0.25">
      <c r="A30" s="9" t="s">
        <v>340</v>
      </c>
      <c r="B30" s="10" t="s">
        <v>341</v>
      </c>
      <c r="C30" s="10" t="s">
        <v>167</v>
      </c>
      <c r="D30" s="13" t="s">
        <v>152</v>
      </c>
      <c r="E30" s="10" t="s">
        <v>342</v>
      </c>
    </row>
  </sheetData>
  <mergeCells count="1">
    <mergeCell ref="A1:E1"/>
  </mergeCells>
  <pageMargins left="0.4" right="0.4" top="0.5" bottom="0.5"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14"/>
  <sheetViews>
    <sheetView workbookViewId="0">
      <pane ySplit="2" topLeftCell="A3" activePane="bottomLeft" state="frozen"/>
      <selection pane="bottomLeft"/>
    </sheetView>
  </sheetViews>
  <sheetFormatPr baseColWidth="10" defaultColWidth="9.140625" defaultRowHeight="15" x14ac:dyDescent="0.25"/>
  <cols>
    <col min="1" max="1" width="9" customWidth="1"/>
    <col min="2" max="2" width="46" customWidth="1"/>
    <col min="3" max="3" width="14" customWidth="1"/>
    <col min="4" max="4" width="15" customWidth="1"/>
    <col min="5" max="5" width="11" customWidth="1"/>
    <col min="6" max="6" width="12" customWidth="1"/>
    <col min="7" max="7" width="30" customWidth="1"/>
    <col min="8" max="8" width="16" customWidth="1"/>
  </cols>
  <sheetData>
    <row r="1" spans="1:8" ht="31.5" customHeight="1" x14ac:dyDescent="0.25">
      <c r="A1" s="51" t="s">
        <v>343</v>
      </c>
      <c r="B1" s="35"/>
      <c r="C1" s="35"/>
      <c r="D1" s="35"/>
      <c r="E1" s="35"/>
      <c r="F1" s="35"/>
      <c r="G1" s="35"/>
      <c r="H1" s="35"/>
    </row>
    <row r="2" spans="1:8" ht="30" customHeight="1" x14ac:dyDescent="0.25">
      <c r="A2" s="6" t="s">
        <v>344</v>
      </c>
      <c r="B2" s="6" t="s">
        <v>345</v>
      </c>
      <c r="C2" s="6" t="s">
        <v>76</v>
      </c>
      <c r="D2" s="6" t="s">
        <v>84</v>
      </c>
      <c r="E2" s="6" t="s">
        <v>86</v>
      </c>
      <c r="F2" s="6" t="s">
        <v>346</v>
      </c>
      <c r="G2" s="6" t="s">
        <v>216</v>
      </c>
      <c r="H2" s="6" t="s">
        <v>347</v>
      </c>
    </row>
    <row r="3" spans="1:8" ht="37.15" customHeight="1" x14ac:dyDescent="0.25">
      <c r="A3" s="7" t="s">
        <v>90</v>
      </c>
      <c r="B3" s="5" t="s">
        <v>91</v>
      </c>
      <c r="C3" s="7" t="s">
        <v>92</v>
      </c>
      <c r="D3" s="8" t="s">
        <v>99</v>
      </c>
      <c r="E3" s="7" t="s">
        <v>100</v>
      </c>
      <c r="F3" s="29">
        <v>46300</v>
      </c>
      <c r="G3" s="5" t="s">
        <v>96</v>
      </c>
      <c r="H3" s="7" t="s">
        <v>100</v>
      </c>
    </row>
    <row r="4" spans="1:8" ht="37.15" customHeight="1" x14ac:dyDescent="0.25">
      <c r="A4" s="9" t="s">
        <v>104</v>
      </c>
      <c r="B4" s="10" t="s">
        <v>105</v>
      </c>
      <c r="C4" s="9" t="s">
        <v>92</v>
      </c>
      <c r="D4" s="11" t="s">
        <v>110</v>
      </c>
      <c r="E4" s="14" t="s">
        <v>112</v>
      </c>
      <c r="F4" s="30">
        <v>46300</v>
      </c>
      <c r="G4" s="10" t="s">
        <v>107</v>
      </c>
      <c r="H4" s="9" t="s">
        <v>221</v>
      </c>
    </row>
    <row r="5" spans="1:8" ht="37.15" customHeight="1" x14ac:dyDescent="0.25">
      <c r="A5" s="7" t="s">
        <v>115</v>
      </c>
      <c r="B5" s="5" t="s">
        <v>116</v>
      </c>
      <c r="C5" s="7" t="s">
        <v>92</v>
      </c>
      <c r="D5" s="8" t="s">
        <v>99</v>
      </c>
      <c r="E5" s="7" t="s">
        <v>100</v>
      </c>
      <c r="F5" s="29">
        <v>46300</v>
      </c>
      <c r="G5" s="5" t="s">
        <v>120</v>
      </c>
      <c r="H5" s="7" t="s">
        <v>100</v>
      </c>
    </row>
    <row r="6" spans="1:8" ht="37.15" customHeight="1" x14ac:dyDescent="0.25">
      <c r="A6" s="9" t="s">
        <v>125</v>
      </c>
      <c r="B6" s="10" t="s">
        <v>126</v>
      </c>
      <c r="C6" s="9" t="s">
        <v>127</v>
      </c>
      <c r="D6" s="11" t="s">
        <v>110</v>
      </c>
      <c r="E6" s="14" t="s">
        <v>112</v>
      </c>
      <c r="F6" s="30">
        <v>46300</v>
      </c>
      <c r="G6" s="10" t="s">
        <v>107</v>
      </c>
      <c r="H6" s="9" t="s">
        <v>221</v>
      </c>
    </row>
    <row r="7" spans="1:8" ht="37.15" customHeight="1" x14ac:dyDescent="0.25">
      <c r="A7" s="7" t="s">
        <v>135</v>
      </c>
      <c r="B7" s="5" t="s">
        <v>136</v>
      </c>
      <c r="C7" s="7" t="s">
        <v>92</v>
      </c>
      <c r="D7" s="11" t="s">
        <v>110</v>
      </c>
      <c r="E7" s="25" t="s">
        <v>143</v>
      </c>
      <c r="F7" s="29">
        <v>46300</v>
      </c>
      <c r="G7" s="5" t="s">
        <v>139</v>
      </c>
      <c r="H7" s="7" t="s">
        <v>221</v>
      </c>
    </row>
    <row r="8" spans="1:8" ht="37.15" customHeight="1" x14ac:dyDescent="0.25">
      <c r="A8" s="9" t="s">
        <v>146</v>
      </c>
      <c r="B8" s="10" t="s">
        <v>147</v>
      </c>
      <c r="C8" s="9" t="s">
        <v>148</v>
      </c>
      <c r="D8" s="13" t="s">
        <v>152</v>
      </c>
      <c r="E8" s="12" t="s">
        <v>154</v>
      </c>
      <c r="F8" s="30">
        <v>46300</v>
      </c>
      <c r="G8" s="10" t="s">
        <v>96</v>
      </c>
      <c r="H8" s="9" t="s">
        <v>221</v>
      </c>
    </row>
    <row r="9" spans="1:8" ht="37.15" customHeight="1" x14ac:dyDescent="0.25">
      <c r="A9" s="7" t="s">
        <v>157</v>
      </c>
      <c r="B9" s="5" t="s">
        <v>158</v>
      </c>
      <c r="C9" s="7" t="s">
        <v>148</v>
      </c>
      <c r="D9" s="13" t="s">
        <v>152</v>
      </c>
      <c r="E9" s="17" t="s">
        <v>154</v>
      </c>
      <c r="F9" s="29">
        <v>46300</v>
      </c>
      <c r="G9" s="5" t="s">
        <v>161</v>
      </c>
      <c r="H9" s="7" t="s">
        <v>221</v>
      </c>
    </row>
    <row r="10" spans="1:8" ht="37.15" customHeight="1" x14ac:dyDescent="0.25">
      <c r="A10" s="9" t="s">
        <v>167</v>
      </c>
      <c r="B10" s="10" t="s">
        <v>168</v>
      </c>
      <c r="C10" s="9" t="s">
        <v>169</v>
      </c>
      <c r="D10" s="13" t="s">
        <v>152</v>
      </c>
      <c r="E10" s="12" t="s">
        <v>154</v>
      </c>
      <c r="F10" s="30">
        <v>46300</v>
      </c>
      <c r="G10" s="10" t="s">
        <v>161</v>
      </c>
      <c r="H10" s="9" t="s">
        <v>221</v>
      </c>
    </row>
    <row r="11" spans="1:8" ht="37.15" customHeight="1" x14ac:dyDescent="0.25">
      <c r="A11" s="7" t="s">
        <v>178</v>
      </c>
      <c r="B11" s="5" t="s">
        <v>179</v>
      </c>
      <c r="C11" s="7" t="s">
        <v>169</v>
      </c>
      <c r="D11" s="8" t="s">
        <v>99</v>
      </c>
      <c r="E11" s="7" t="s">
        <v>100</v>
      </c>
      <c r="F11" s="29">
        <v>46300</v>
      </c>
      <c r="G11" s="5" t="s">
        <v>161</v>
      </c>
      <c r="H11" s="7" t="s">
        <v>100</v>
      </c>
    </row>
    <row r="12" spans="1:8" ht="37.15" customHeight="1" x14ac:dyDescent="0.25">
      <c r="A12" s="9" t="s">
        <v>186</v>
      </c>
      <c r="B12" s="10" t="s">
        <v>187</v>
      </c>
      <c r="C12" s="9" t="s">
        <v>188</v>
      </c>
      <c r="D12" s="8" t="s">
        <v>99</v>
      </c>
      <c r="E12" s="9" t="s">
        <v>100</v>
      </c>
      <c r="F12" s="30">
        <v>46300</v>
      </c>
      <c r="G12" s="10" t="s">
        <v>120</v>
      </c>
      <c r="H12" s="9" t="s">
        <v>100</v>
      </c>
    </row>
    <row r="13" spans="1:8" ht="37.15" customHeight="1" x14ac:dyDescent="0.25">
      <c r="A13" s="7" t="s">
        <v>195</v>
      </c>
      <c r="B13" s="5" t="s">
        <v>196</v>
      </c>
      <c r="C13" s="7" t="s">
        <v>188</v>
      </c>
      <c r="D13" s="8" t="s">
        <v>99</v>
      </c>
      <c r="E13" s="7" t="s">
        <v>100</v>
      </c>
      <c r="F13" s="29">
        <v>46300</v>
      </c>
      <c r="G13" s="5" t="s">
        <v>96</v>
      </c>
      <c r="H13" s="7" t="s">
        <v>100</v>
      </c>
    </row>
    <row r="14" spans="1:8" ht="37.15" customHeight="1" x14ac:dyDescent="0.25">
      <c r="A14" s="9" t="s">
        <v>201</v>
      </c>
      <c r="B14" s="10" t="s">
        <v>202</v>
      </c>
      <c r="C14" s="9" t="s">
        <v>203</v>
      </c>
      <c r="D14" s="13" t="s">
        <v>152</v>
      </c>
      <c r="E14" s="12" t="s">
        <v>154</v>
      </c>
      <c r="F14" s="30">
        <v>46300</v>
      </c>
      <c r="G14" s="10" t="s">
        <v>139</v>
      </c>
      <c r="H14" s="9" t="s">
        <v>221</v>
      </c>
    </row>
  </sheetData>
  <mergeCells count="1">
    <mergeCell ref="A1:H1"/>
  </mergeCells>
  <pageMargins left="0.4" right="0.4" top="0.5" bottom="0.5"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7</vt:i4>
      </vt:variant>
    </vt:vector>
  </HeadingPairs>
  <TitlesOfParts>
    <vt:vector size="14" baseType="lpstr">
      <vt:lpstr>Info Proyecto</vt:lpstr>
      <vt:lpstr>Ambiente de Prueba</vt:lpstr>
      <vt:lpstr>Casos de Prueba</vt:lpstr>
      <vt:lpstr>Seguimiento</vt:lpstr>
      <vt:lpstr>Resumen</vt:lpstr>
      <vt:lpstr>Trazabilidad</vt:lpstr>
      <vt:lpstr>Matriz Resumen</vt:lpstr>
      <vt:lpstr>'Ambiente de Prueba'!Títulos_a_imprimir</vt:lpstr>
      <vt:lpstr>'Casos de Prueba'!Títulos_a_imprimir</vt:lpstr>
      <vt:lpstr>'Info Proyecto'!Títulos_a_imprimir</vt:lpstr>
      <vt:lpstr>'Matriz Resumen'!Títulos_a_imprimir</vt:lpstr>
      <vt:lpstr>Resumen!Títulos_a_imprimir</vt:lpstr>
      <vt:lpstr>Seguimiento!Títulos_a_imprimir</vt:lpstr>
      <vt:lpstr>Trazabilidad!Títulos_a_imprimir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Jimenez</cp:lastModifiedBy>
  <cp:revision>0</cp:revision>
  <dcterms:created xsi:type="dcterms:W3CDTF">2026-03-17T23:28:09Z</dcterms:created>
  <dcterms:modified xsi:type="dcterms:W3CDTF">2026-10-06T01:54:11Z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2026-03-17T23:31:02Z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70b522ed-573a-471f-a5a7-60615cef3735</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